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0af60845e06465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LEEME" sheetId="1" r:id="R8131cfce13384c79"/>
    <x:sheet xmlns:r="http://schemas.openxmlformats.org/officeDocument/2006/relationships" name="Diccionario" sheetId="2" r:id="R9494cf834f2b4004"/>
    <x:sheet xmlns:r="http://schemas.openxmlformats.org/officeDocument/2006/relationships" name="Parametros" sheetId="3" r:id="Ree2a1c66450d48f2"/>
    <x:sheet xmlns:r="http://schemas.openxmlformats.org/officeDocument/2006/relationships" name="Tablas_Referencia_SJL" sheetId="4" r:id="R20363e1bcbc74335"/>
    <x:sheet xmlns:r="http://schemas.openxmlformats.org/officeDocument/2006/relationships" name="Tablas_PPP" sheetId="5" r:id="Rbf60f2d567434759"/>
    <x:sheet xmlns:r="http://schemas.openxmlformats.org/officeDocument/2006/relationships" name="Fuentes" sheetId="6" r:id="Re90c6725bb014bc7"/>
    <x:sheet xmlns:r="http://schemas.openxmlformats.org/officeDocument/2006/relationships" name="Changelog" sheetId="7" r:id="R514efd3f076d48cd"/>
    <x:sheet xmlns:r="http://schemas.openxmlformats.org/officeDocument/2006/relationships" name="Motor" sheetId="8" r:id="R06df34fd3d3b4c7b"/>
    <x:sheet xmlns:r="http://schemas.openxmlformats.org/officeDocument/2006/relationships" name="Casos_Prueba" sheetId="9" r:id="R4e14c4fafa884a7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0.0%"/>
    <x:numFmt numFmtId="201" formatCode="hh:mm"/>
    <x:numFmt numFmtId="202" formatCode="0.00"/>
  </x:numFmts>
  <x:fonts count="6">
    <x:font>
      <x:sz val="11"/>
      <x:name val="Carlito"/>
    </x:font>
    <x:font>
      <x:b/>
      <x:sz val="14"/>
      <x:color rgb="FF17365D"/>
      <x:name val="Carlito"/>
    </x:font>
    <x:font>
      <x:b/>
      <x:sz val="11"/>
      <x:color rgb="FFFFFFFF"/>
      <x:name val="Carlito"/>
    </x:font>
    <x:font>
      <x:b/>
      <x:sz val="11"/>
      <x:color rgb="FF17365D"/>
      <x:name val="Carlito"/>
    </x:font>
    <x:font>
      <x:i/>
      <x:sz val="11"/>
      <x:name val="Carlito"/>
    </x:font>
    <x:font>
      <x:b/>
      <x:sz val="11"/>
      <x:color rgb="FF1F1F1F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D9EAF7"/>
      </x:patternFill>
    </x:fill>
    <x:fill>
      <x:patternFill patternType="solid">
        <x:fgColor rgb="FF1F4E78"/>
      </x:patternFill>
    </x:fill>
    <x:fill>
      <x:patternFill patternType="solid">
        <x:fgColor rgb="FFFFF2CC"/>
      </x:patternFill>
    </x:fill>
    <x:fill>
      <x:patternFill patternType="solid">
        <x:fgColor rgb="FFDCE6F1"/>
      </x:patternFill>
    </x:fill>
  </x:fills>
  <x:borders count="2">
    <x:border/>
    <x:border/>
  </x:borders>
  <x:cellStyleXfs count="1">
    <x:xf numFmtId="0" fontId="0" fillId="0" borderId="0"/>
  </x:cellStyleXfs>
  <x:cellXfs count="54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horizontal="center" wrapText="1"/>
    </x:xf>
    <x:xf numFmtId="0" fontId="2" fillId="3" borderId="0" xfId="0" applyNumberFormat="1" applyFont="1" applyFill="1" applyBorder="1" applyAlignment="1">
      <x:alignment horizontal="center"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center" wrapText="1"/>
    </x:xf>
    <x:xf numFmtId="0" fontId="2" fillId="3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202" fontId="0" fillId="0" borderId="0" xfId="0" applyNumberFormat="1" applyFont="1" applyFill="1" applyBorder="1"/>
    <x:xf numFmtId="202" fontId="0" fillId="0" borderId="1" xfId="0" applyNumberFormat="1" applyFont="1" applyFill="1" applyBorder="1"/>
    <x:xf numFmtId="202" fontId="0" fillId="2" borderId="0" xfId="0" applyNumberFormat="1" applyFont="1" applyFill="1" applyBorder="1"/>
    <x:xf numFmtId="0" fontId="3" fillId="2" borderId="0" xfId="0" applyNumberFormat="1" applyFont="1" applyFill="1" applyBorder="1"/>
    <x:xf numFmtId="202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wrapText="1"/>
    </x:xf>
    <x:xf numFmtId="202" fontId="3" fillId="2" borderId="0" xfId="0" applyNumberFormat="1" applyFont="1" applyFill="1" applyBorder="1" applyAlignment="1">
      <x:alignment wrapText="1"/>
    </x:xf>
    <x:xf numFmtId="202" fontId="0" fillId="2" borderId="1" xfId="0" applyNumberFormat="1" applyFont="1" applyFill="1" applyBorder="1"/>
    <x:xf numFmtId="0" fontId="3" fillId="2" borderId="1" xfId="0" applyNumberFormat="1" applyFont="1" applyFill="1" applyBorder="1"/>
    <x:xf numFmtId="202" fontId="3" fillId="2" borderId="1" xfId="0" applyNumberFormat="1" applyFont="1" applyFill="1" applyBorder="1"/>
    <x:xf numFmtId="0" fontId="3" fillId="2" borderId="1" xfId="0" applyNumberFormat="1" applyFont="1" applyFill="1" applyBorder="1" applyAlignment="1">
      <x:alignment wrapText="1"/>
    </x:xf>
    <x:xf numFmtId="202" fontId="3" fillId="2" borderId="1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4" fillId="4" borderId="0" xfId="0" applyNumberFormat="1" applyFont="1" applyFill="1" applyBorder="1"/>
    <x:xf numFmtId="0" fontId="4" fillId="4" borderId="0" xfId="0" applyNumberFormat="1" applyFont="1" applyFill="1" applyBorder="1" applyAlignment="1">
      <x:alignment wrapText="1"/>
    </x:xf>
    <x:xf numFmtId="0" fontId="0" fillId="4" borderId="1" xfId="0" applyNumberFormat="1" applyFont="1" applyFill="1" applyBorder="1"/>
    <x:xf numFmtId="0" fontId="4" fillId="4" borderId="1" xfId="0" applyNumberFormat="1" applyFont="1" applyFill="1" applyBorder="1"/>
    <x:xf numFmtId="0" fontId="4" fillId="4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wrapText="1"/>
    </x:xf>
    <x:xf numFmtId="0" fontId="0" fillId="5" borderId="0" xfId="0" applyNumberFormat="1" applyFont="1" applyFill="1" applyBorder="1" applyAlignment="1">
      <x:alignment wrapText="1"/>
    </x:xf>
    <x:xf numFmtId="0" fontId="5" fillId="5" borderId="0" xfId="0" applyNumberFormat="1" applyFont="1" applyFill="1" applyBorder="1" applyAlignment="1">
      <x:alignment wrapText="1"/>
    </x:xf>
    <x:xf numFmtId="0" fontId="0" fillId="5" borderId="1" xfId="0" applyNumberFormat="1" applyFont="1" applyFill="1" applyBorder="1" applyAlignment="1">
      <x:alignment wrapText="1"/>
    </x:xf>
    <x:xf numFmtId="0" fontId="5" fillId="5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</x:cellXfs>
  <x:cellStyles count="1">
    <x:cellStyle name="Normal" xfId="0"/>
  </x:cellStyles>
  <x:dxfs count="1">
    <x:dxf>
      <x:fill>
        <x:patternFill>
          <x:bgColor rgb="FFFFF2C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f419dc86a2b4a1b" /><Relationship Type="http://schemas.openxmlformats.org/officeDocument/2006/relationships/theme" Target="/xl/theme/theme1.xml" Id="Rb2a4368ded6445d0" /><Relationship Type="http://schemas.microsoft.com/office/2022/11/relationships/FeaturePropertyBag" Target="/xl/featurePropertyBag/featurePropertyBag.xml" Id="R9a1153bc873143ed" /><Relationship Type="http://schemas.openxmlformats.org/officeDocument/2006/relationships/sharedStrings" Target="/xl/sharedStrings.xml" Id="R14bfb4f0de4d4d8e" /><Relationship Type="http://schemas.openxmlformats.org/officeDocument/2006/relationships/worksheet" Target="/xl/worksheets/sheet1.xml" Id="R8131cfce13384c79" /><Relationship Type="http://schemas.openxmlformats.org/officeDocument/2006/relationships/worksheet" Target="/xl/worksheets/sheet2.xml" Id="R9494cf834f2b4004" /><Relationship Type="http://schemas.openxmlformats.org/officeDocument/2006/relationships/worksheet" Target="/xl/worksheets/sheet3.xml" Id="Ree2a1c66450d48f2" /><Relationship Type="http://schemas.openxmlformats.org/officeDocument/2006/relationships/worksheet" Target="/xl/worksheets/sheet4.xml" Id="R20363e1bcbc74335" /><Relationship Type="http://schemas.openxmlformats.org/officeDocument/2006/relationships/worksheet" Target="/xl/worksheets/sheet5.xml" Id="Rbf60f2d567434759" /><Relationship Type="http://schemas.openxmlformats.org/officeDocument/2006/relationships/worksheet" Target="/xl/worksheets/sheet6.xml" Id="Re90c6725bb014bc7" /><Relationship Type="http://schemas.openxmlformats.org/officeDocument/2006/relationships/worksheet" Target="/xl/worksheets/sheet7.xml" Id="R514efd3f076d48cd" /><Relationship Type="http://schemas.openxmlformats.org/officeDocument/2006/relationships/worksheet" Target="/xl/worksheets/sheet8.xml" Id="R06df34fd3d3b4c7b" /><Relationship Type="http://schemas.openxmlformats.org/officeDocument/2006/relationships/worksheet" Target="/xl/worksheets/sheet9.xml" Id="R4e14c4fafa884a7b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72" hidden="0" customWidth="1"/>
    <x:col min="3" max="3" width="10" hidden="0" customWidth="1"/>
    <x:col min="4" max="4" width="10" hidden="0" customWidth="1"/>
    <x:col min="5" max="5" width="10" hidden="0" customWidth="1"/>
    <x:col min="6" max="6" width="10" hidden="0" customWidth="1"/>
  </x:cols>
  <x:sheetData>
    <x:row r="1">
      <x:c r="A1" s="4" t="str">
        <x:v>ChronoSleep — Base de conocimiento v3.0 (QA)</x:v>
      </x:c>
      <x:c r="B1" s="4"/>
      <x:c r="C1" s="4"/>
      <x:c r="D1" s="4"/>
      <x:c r="E1" s="4"/>
      <x:c r="F1" s="4"/>
    </x:row>
    <x:row r="3">
      <x:c r="A3" s="12" t="str">
        <x:v>Campo</x:v>
      </x:c>
      <x:c r="B3" s="12" t="str">
        <x:v>Detalle</x:v>
      </x:c>
      <x:c r="C3" s="12" t="str"/>
      <x:c r="D3" s="12" t="str"/>
      <x:c r="E3" s="12" t="str"/>
      <x:c r="F3" s="12" t="str"/>
    </x:row>
    <x:row r="4">
      <x:c r="A4" s="18" t="str">
        <x:v>Propósito</x:v>
      </x:c>
      <x:c r="B4" s="18" t="str">
        <x:v>Fuente única de parámetros, referencias y caso de ejemplo para el motor reproducible de social jetlag.</x:v>
      </x:c>
      <x:c r="C4" s="18" t="str"/>
      <x:c r="D4" s="18" t="str"/>
      <x:c r="E4" s="18" t="str"/>
      <x:c r="F4" s="18" t="str"/>
    </x:row>
    <x:row r="5">
      <x:c r="A5" s="18" t="str">
        <x:v>Versión</x:v>
      </x:c>
      <x:c r="B5" s="18" t="str">
        <x:v>3.0 / chronosleep-sjl-2.0</x:v>
      </x:c>
      <x:c r="C5" s="18" t="str"/>
      <x:c r="D5" s="18" t="str"/>
      <x:c r="E5" s="18" t="str"/>
      <x:c r="F5" s="18" t="str"/>
    </x:row>
    <x:row r="6">
      <x:c r="A6" s="18" t="str">
        <x:v>Fecha</x:v>
      </x:c>
      <x:c r="B6" s="18" t="str">
        <x:v>2026-10-04</x:v>
      </x:c>
      <x:c r="C6" s="18" t="str"/>
      <x:c r="D6" s="18" t="str"/>
      <x:c r="E6" s="18" t="str"/>
      <x:c r="F6" s="18" t="str"/>
    </x:row>
    <x:row r="7">
      <x:c r="A7" s="18" t="str">
        <x:v>Modelo principal</x:v>
      </x:c>
      <x:c r="B7" s="18" t="str">
        <x:v>MSW/MSF + social jetlag circular; MSFsc solo como proxy secundario.</x:v>
      </x:c>
      <x:c r="C7" s="18" t="str"/>
      <x:c r="D7" s="18" t="str"/>
      <x:c r="E7" s="18" t="str"/>
      <x:c r="F7" s="18" t="str"/>
    </x:row>
    <x:row r="8">
      <x:c r="A8" s="18" t="str">
        <x:v>Actualizar</x:v>
      </x:c>
      <x:c r="B8" s="18" t="str">
        <x:v>Ejecutar ingest/ingest.py para refrescar PPP; revisar fuentes científicas antes de cambiar fórmulas.</x:v>
      </x:c>
      <x:c r="C8" s="18" t="str"/>
      <x:c r="D8" s="18" t="str"/>
      <x:c r="E8" s="18" t="str"/>
      <x:c r="F8" s="18" t="str"/>
    </x:row>
    <x:row r="9">
      <x:c r="A9" s="18" t="str">
        <x:v>Regla de estado</x:v>
      </x:c>
      <x:c r="B9" s="18" t="str">
        <x:v>verificado = cifra confirmada en fuente; preliminar = supuesto de producto pendiente de validación.</x:v>
      </x:c>
      <x:c r="C9" s="18" t="str"/>
      <x:c r="D9" s="18" t="str"/>
      <x:c r="E9" s="18" t="str"/>
      <x:c r="F9" s="18" t="str"/>
    </x:row>
    <x:row r="10">
      <x:c r="A10" s="18" t="str">
        <x:v>Alcance</x:v>
      </x:c>
      <x:c r="B10" s="18" t="str">
        <x:v>Adultos 18+, patrón estable; no turnos rotativos/nocturnos, diagnóstico ni tratamiento.</x:v>
      </x:c>
      <x:c r="C10" s="18" t="str"/>
      <x:c r="D10" s="18" t="str"/>
      <x:c r="E10" s="18" t="str"/>
      <x:c r="F10" s="18" t="str"/>
    </x:row>
    <x:row r="11">
      <x:c r="A11" s="18" t="str">
        <x:v>Hoja Motor</x:v>
      </x:c>
      <x:c r="B11" s="18" t="str">
        <x:v>Contiene fórmulas Excel vivas para el caso de ejemplo. Debe coincidir con engine_reference.py.</x:v>
      </x:c>
      <x:c r="C11" s="18" t="str"/>
      <x:c r="D11" s="18" t="str"/>
      <x:c r="E11" s="18" t="str"/>
      <x:c r="F11" s="18" t="str"/>
    </x:row>
    <x:row r="12">
      <x:c r="A12" s="18" t="str">
        <x:v>Verificación</x:v>
      </x:c>
      <x:c r="B12" s="18" t="str">
        <x:v>El porcentaje de filas de datos científicos/oficiales se calcula sobre Parametros + Tablas_Referencia_SJL + Tablas_PPP.</x:v>
      </x:c>
      <x:c r="C12" s="18" t="str"/>
      <x:c r="D12" s="18" t="str"/>
      <x:c r="E12" s="18" t="str"/>
      <x:c r="F12" s="18" t="str"/>
    </x:row>
    <x:row r="13">
      <x:c r="A13" s="18" t="str">
        <x:v>Filas verificadas</x:v>
      </x:c>
      <x:c r="B13" s="18" t="str">
        <x:v>19/21 = 90,5% (scope: Parametros + Tablas_Referencia_SJL + Tablas_PPP; excluye tests y precios comerciales).</x:v>
      </x:c>
    </x:row>
    <x:row r="14">
      <x:c r="A14" s="18" t="str">
        <x:v>Modelo respaldo</x:v>
      </x:c>
      <x:c r="B14" s="18" t="str">
        <x:v>Jankowski SJLsc circular; solo sensibilidad metodológica, no cifra principal.</x:v>
      </x:c>
    </x:row>
    <x:row r="15">
      <x:c r="A15" s="18" t="str">
        <x:v>Entrenamiento</x:v>
      </x:c>
      <x:c r="B15" s="18" t="str">
        <x:v>No aplica: el MVP usa fórmulas publicadas y tablas de referencia; por eso no se incluye train.py.</x:v>
      </x:c>
    </x:row>
  </x:sheetData>
  <x:mergeCells>
    <x:mergeCell ref="A1:F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6" hidden="0" customWidth="1"/>
    <x:col min="2" max="2" width="14" hidden="0" customWidth="1"/>
    <x:col min="3" max="3" width="14" hidden="0" customWidth="1"/>
    <x:col min="4" max="4" width="20" hidden="0" customWidth="1"/>
    <x:col min="5" max="5" width="48" hidden="0" customWidth="1"/>
    <x:col min="6" max="6" width="18" hidden="0" customWidth="1"/>
    <x:col min="7" max="7" width="14" hidden="0" customWidth="1"/>
  </x:cols>
  <x:sheetData>
    <x:row r="1">
      <x:c r="A1" s="12" t="str">
        <x:v>campo</x:v>
      </x:c>
      <x:c r="B1" s="12" t="str">
        <x:v>tipo</x:v>
      </x:c>
      <x:c r="C1" s="12" t="str">
        <x:v>unidad</x:v>
      </x:c>
      <x:c r="D1" s="12" t="str">
        <x:v>rango/valores</x:v>
      </x:c>
      <x:c r="E1" s="12" t="str">
        <x:v>descripción</x:v>
      </x:c>
      <x:c r="F1" s="12" t="str">
        <x:v>origen</x:v>
      </x:c>
      <x:c r="G1" s="12" t="str">
        <x:v>estado</x:v>
      </x:c>
    </x:row>
    <x:row r="2">
      <x:c r="A2" s="18" t="str">
        <x:v>work_bedtime</x:v>
      </x:c>
      <x:c r="B2" s="18" t="str">
        <x:v>input</x:v>
      </x:c>
      <x:c r="C2" s="18" t="str">
        <x:v>HH:MM</x:v>
      </x:c>
      <x:c r="D2" s="18" t="str">
        <x:v>00:00–23:59</x:v>
      </x:c>
      <x:c r="E2" s="18" t="str">
        <x:v>Hora de acostarse antes de día con obligación</x:v>
      </x:c>
      <x:c r="F2" s="18" t="str">
        <x:v>usuario</x:v>
      </x:c>
      <x:c r="G2" s="18" t="str">
        <x:v>verificado</x:v>
      </x:c>
    </x:row>
    <x:row r="3">
      <x:c r="A3" s="18" t="str">
        <x:v>sleep_latency_min</x:v>
      </x:c>
      <x:c r="B3" s="18" t="str">
        <x:v>input</x:v>
      </x:c>
      <x:c r="C3" s="18" t="str">
        <x:v>min</x:v>
      </x:c>
      <x:c r="D3" s="18" t="str">
        <x:v>0–120</x:v>
      </x:c>
      <x:c r="E3" s="18" t="str">
        <x:v>Latencia usada en ambos tipos de día</x:v>
      </x:c>
      <x:c r="F3" s="18" t="str">
        <x:v>usuario</x:v>
      </x:c>
      <x:c r="G3" s="18" t="str">
        <x:v>verificado</x:v>
      </x:c>
    </x:row>
    <x:row r="4">
      <x:c r="A4" s="18" t="str">
        <x:v>work_wake_time</x:v>
      </x:c>
      <x:c r="B4" s="18" t="str">
        <x:v>input</x:v>
      </x:c>
      <x:c r="C4" s="18" t="str">
        <x:v>HH:MM</x:v>
      </x:c>
      <x:c r="D4" s="18" t="str">
        <x:v>00:00–23:59</x:v>
      </x:c>
      <x:c r="E4" s="18" t="str">
        <x:v>Hora habitual/obligatoria de despertar</x:v>
      </x:c>
      <x:c r="F4" s="18" t="str">
        <x:v>usuario</x:v>
      </x:c>
      <x:c r="G4" s="18" t="str">
        <x:v>verificado</x:v>
      </x:c>
    </x:row>
    <x:row r="5">
      <x:c r="A5" s="18" t="str">
        <x:v>free_bedtime</x:v>
      </x:c>
      <x:c r="B5" s="18" t="str">
        <x:v>input</x:v>
      </x:c>
      <x:c r="C5" s="18" t="str">
        <x:v>HH:MM</x:v>
      </x:c>
      <x:c r="D5" s="18" t="str">
        <x:v>00:00–23:59</x:v>
      </x:c>
      <x:c r="E5" s="18" t="str">
        <x:v>Hora de acostarse antes de día libre</x:v>
      </x:c>
      <x:c r="F5" s="18" t="str">
        <x:v>usuario</x:v>
      </x:c>
      <x:c r="G5" s="18" t="str">
        <x:v>verificado</x:v>
      </x:c>
    </x:row>
    <x:row r="6">
      <x:c r="A6" s="18" t="str">
        <x:v>free_wake_time</x:v>
      </x:c>
      <x:c r="B6" s="18" t="str">
        <x:v>input</x:v>
      </x:c>
      <x:c r="C6" s="18" t="str">
        <x:v>HH:MM</x:v>
      </x:c>
      <x:c r="D6" s="18" t="str">
        <x:v>00:00–23:59</x:v>
      </x:c>
      <x:c r="E6" s="18" t="str">
        <x:v>Hora de despertar en día libre</x:v>
      </x:c>
      <x:c r="F6" s="18" t="str">
        <x:v>usuario</x:v>
      </x:c>
      <x:c r="G6" s="18" t="str">
        <x:v>verificado</x:v>
      </x:c>
    </x:row>
    <x:row r="7">
      <x:c r="A7" s="18" t="str">
        <x:v>workdays_per_week</x:v>
      </x:c>
      <x:c r="B7" s="18" t="str">
        <x:v>input</x:v>
      </x:c>
      <x:c r="C7" s="18" t="str">
        <x:v>días</x:v>
      </x:c>
      <x:c r="D7" s="18" t="str">
        <x:v>1–6</x:v>
      </x:c>
      <x:c r="E7" s="18" t="str">
        <x:v>Días de obligación por semana</x:v>
      </x:c>
      <x:c r="F7" s="18" t="str">
        <x:v>usuario</x:v>
      </x:c>
      <x:c r="G7" s="18" t="str">
        <x:v>verificado</x:v>
      </x:c>
    </x:row>
    <x:row r="8">
      <x:c r="A8" s="18" t="str">
        <x:v>free_day_alarm</x:v>
      </x:c>
      <x:c r="B8" s="18" t="str">
        <x:v>input</x:v>
      </x:c>
      <x:c r="C8" s="18" t="str">
        <x:v>boolean</x:v>
      </x:c>
      <x:c r="D8" s="18" t="str">
        <x:v>TRUE/FALSE</x:v>
      </x:c>
      <x:c r="E8" s="18" t="str">
        <x:v>Uso de alarma en días libres</x:v>
      </x:c>
      <x:c r="F8" s="18" t="str">
        <x:v>usuario</x:v>
      </x:c>
      <x:c r="G8" s="18" t="str">
        <x:v>verificado</x:v>
      </x:c>
    </x:row>
    <x:row r="9">
      <x:c r="A9" s="18" t="str">
        <x:v>wake_flexibility_min</x:v>
      </x:c>
      <x:c r="B9" s="18" t="str">
        <x:v>input</x:v>
      </x:c>
      <x:c r="C9" s="18" t="str">
        <x:v>min</x:v>
      </x:c>
      <x:c r="D9" s="18" t="str">
        <x:v>0–120 entero</x:v>
      </x:c>
      <x:c r="E9" s="18" t="str">
        <x:v>Flexibilidad declarada para mover horario laboral</x:v>
      </x:c>
      <x:c r="F9" s="18" t="str">
        <x:v>usuario</x:v>
      </x:c>
      <x:c r="G9" s="18" t="str">
        <x:v>verificado</x:v>
      </x:c>
    </x:row>
    <x:row r="10">
      <x:c r="A10" s="18" t="str">
        <x:v>social_jetlag_hours</x:v>
      </x:c>
      <x:c r="B10" s="18" t="str">
        <x:v>output</x:v>
      </x:c>
      <x:c r="C10" s="18" t="str">
        <x:v>h</x:v>
      </x:c>
      <x:c r="D10" s="18" t="str">
        <x:v>0–12</x:v>
      </x:c>
      <x:c r="E10" s="18" t="str">
        <x:v>Diferencia circular absoluta entre MSF y MSW</x:v>
      </x:c>
      <x:c r="F10" s="18" t="str">
        <x:v>modelo</x:v>
      </x:c>
      <x:c r="G10" s="18" t="str">
        <x:v>verificado</x:v>
      </x:c>
    </x:row>
    <x:row r="11">
      <x:c r="A11" s="18" t="str">
        <x:v>msf_sc</x:v>
      </x:c>
      <x:c r="B11" s="18" t="str">
        <x:v>output</x:v>
      </x:c>
      <x:c r="C11" s="18" t="str">
        <x:v>HH:MM</x:v>
      </x:c>
      <x:c r="D11" s="18" t="str">
        <x:v>NA o tiempo</x:v>
      </x:c>
      <x:c r="E11" s="18" t="str">
        <x:v>Mid-sleep libre corregido por oversleep; no si hay alarma</x:v>
      </x:c>
      <x:c r="F11" s="18" t="str">
        <x:v>modelo</x:v>
      </x:c>
      <x:c r="G11" s="18" t="str">
        <x:v>verificado</x:v>
      </x:c>
    </x:row>
    <x:row r="12">
      <x:c r="A12" s="18" t="str">
        <x:v>planned_social_jetlag_hours</x:v>
      </x:c>
      <x:c r="B12" s="18" t="str">
        <x:v>output</x:v>
      </x:c>
      <x:c r="C12" s="18" t="str">
        <x:v>h</x:v>
      </x:c>
      <x:c r="D12" s="18" t="str">
        <x:v>0–12</x:v>
      </x:c>
      <x:c r="E12" s="18" t="str">
        <x:v>SJL del horario simulado bajo adherencia</x:v>
      </x:c>
      <x:c r="F12" s="18" t="str">
        <x:v>modelo</x:v>
      </x:c>
      <x:c r="G12" s="18" t="str">
        <x:v>verificado</x:v>
      </x:c>
    </x:row>
    <x:row r="13">
      <x:c r="A13" s="18" t="str">
        <x:v>reference_band</x:v>
      </x:c>
      <x:c r="B13" s="18" t="str">
        <x:v>output</x:v>
      </x:c>
      <x:c r="C13" s="18" t="str">
        <x:v>categoría</x:v>
      </x:c>
      <x:c r="D13" s="18" t="str">
        <x:v>&lt;1h / 1–&lt;2h / ≥2h</x:v>
      </x:c>
      <x:c r="E13" s="18" t="str">
        <x:v>Referencia descriptiva, no clínica</x:v>
      </x:c>
      <x:c r="F13" s="18" t="str">
        <x:v>modelo+NHANES</x:v>
      </x:c>
      <x:c r="G13" s="18" t="str">
        <x:v>verificado</x:v>
      </x:c>
    </x:row>
    <x:row r="14">
      <x:c r="A14" t="str">
        <x:v>social_jetlag_sleep_corrected_hours</x:v>
      </x:c>
      <x:c r="B14" t="str">
        <x:v>output</x:v>
      </x:c>
      <x:c r="C14" t="str">
        <x:v>h</x:v>
      </x:c>
      <x:c r="D14" t="str">
        <x:v>0–12</x:v>
      </x:c>
      <x:c r="E14" t="str">
        <x:v>Jankowski SJLsc; respaldo/sensibilidad metodológica, no cifra principal</x:v>
      </x:c>
      <x:c r="F14" t="str">
        <x:v>modelo respaldo</x:v>
      </x:c>
      <x:c r="G14" t="str">
        <x:v>verificado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32" hidden="0" customWidth="1"/>
    <x:col min="2" max="2" width="14" hidden="0" customWidth="1"/>
    <x:col min="3" max="3" width="14" hidden="0" customWidth="1"/>
    <x:col min="4" max="4" width="62" hidden="0" customWidth="1"/>
    <x:col min="5" max="5" width="14" hidden="0" customWidth="1"/>
    <x:col min="6" max="6" width="14" hidden="0" customWidth="1"/>
    <x:col min="7" max="7" width="52" hidden="0" customWidth="1"/>
  </x:cols>
  <x:sheetData>
    <x:row r="1">
      <x:c r="A1" s="12" t="str">
        <x:v>parametro</x:v>
      </x:c>
      <x:c r="B1" s="12" t="str">
        <x:v>valor</x:v>
      </x:c>
      <x:c r="C1" s="12" t="str">
        <x:v>unidad</x:v>
      </x:c>
      <x:c r="D1" s="12" t="str">
        <x:v>fuente_url</x:v>
      </x:c>
      <x:c r="E1" s="12" t="str">
        <x:v>fecha</x:v>
      </x:c>
      <x:c r="F1" s="12" t="str">
        <x:v>estado</x:v>
      </x:c>
      <x:c r="G1" s="12" t="str">
        <x:v>nota</x:v>
      </x:c>
    </x:row>
    <x:row r="2">
      <x:c r="A2" s="18" t="str">
        <x:v>minutes_per_day</x:v>
      </x:c>
      <x:c r="B2" s="18" t="n">
        <x:v>1440</x:v>
      </x:c>
      <x:c r="C2" s="18" t="str">
        <x:v>min</x:v>
      </x:c>
      <x:c r="D2" s="18" t="str">
        <x:v>https://docs.ropensci.org/mctq/articles/sjl-computation.html</x:v>
      </x:c>
      <x:c r="E2" s="18" t="str">
        <x:v>2026-10-04</x:v>
      </x:c>
      <x:c r="F2" s="18" t="str">
        <x:v>verificado</x:v>
      </x:c>
      <x:c r="G2" s="18" t="str">
        <x:v>Constante usada para aritmética circular.</x:v>
      </x:c>
    </x:row>
    <x:row r="3">
      <x:c r="A3" s="18" t="str">
        <x:v>hours_per_day</x:v>
      </x:c>
      <x:c r="B3" s="18" t="n">
        <x:v>24</x:v>
      </x:c>
      <x:c r="C3" s="18" t="str">
        <x:v>h</x:v>
      </x:c>
      <x:c r="D3" s="18" t="str">
        <x:v>https://docs.ropensci.org/mctq/articles/sjl-computation.html</x:v>
      </x:c>
      <x:c r="E3" s="18" t="str">
        <x:v>2026-10-04</x:v>
      </x:c>
      <x:c r="F3" s="18" t="str">
        <x:v>verificado</x:v>
      </x:c>
      <x:c r="G3" s="18" t="str">
        <x:v>Constante de conversión.</x:v>
      </x:c>
    </x:row>
    <x:row r="4">
      <x:c r="A4" s="18" t="str">
        <x:v>days_per_week</x:v>
      </x:c>
      <x:c r="B4" s="18" t="n">
        <x:v>7</x:v>
      </x:c>
      <x:c r="C4" s="18" t="str">
        <x:v>días</x:v>
      </x:c>
      <x:c r="D4" s="18" t="str">
        <x:v>https://docs.ropensci.org/mctq/reference/sd_week.html</x:v>
      </x:c>
      <x:c r="E4" s="18" t="str">
        <x:v>2026-10-04</x:v>
      </x:c>
      <x:c r="F4" s="18" t="str">
        <x:v>verificado</x:v>
      </x:c>
      <x:c r="G4" s="18" t="str">
        <x:v>Ponderación semanal.</x:v>
      </x:c>
    </x:row>
    <x:row r="5">
      <x:c r="A5" s="18" t="str">
        <x:v>adult_sleep_min_hours</x:v>
      </x:c>
      <x:c r="B5" s="18" t="n">
        <x:v>7</x:v>
      </x:c>
      <x:c r="C5" s="18" t="str">
        <x:v>h/día</x:v>
      </x:c>
      <x:c r="D5" s="18" t="str">
        <x:v>https://www.cdc.gov/sleep/about/index.html</x:v>
      </x:c>
      <x:c r="E5" s="18" t="str">
        <x:v>2026-10-04</x:v>
      </x:c>
      <x:c r="F5" s="18" t="str">
        <x:v>verificado</x:v>
      </x:c>
      <x:c r="G5" s="18" t="str">
        <x:v>Solo warning educativo; no optimiza duración.</x:v>
      </x:c>
    </x:row>
    <x:row r="6">
      <x:c r="A6" s="18" t="str">
        <x:v>msfsc_requires_no_free_alarm</x:v>
      </x:c>
      <x:c r="B6" s="18" t="n">
        <x:v>1</x:v>
      </x:c>
      <x:c r="C6" s="18" t="str">
        <x:v>boolean</x:v>
      </x:c>
      <x:c r="D6" s="18" t="str">
        <x:v>https://docs.ropensci.org/mctq/reference/msf_sc.html</x:v>
      </x:c>
      <x:c r="E6" s="18" t="str">
        <x:v>2026-10-04</x:v>
      </x:c>
      <x:c r="F6" s="18" t="str">
        <x:v>verificado</x:v>
      </x:c>
      <x:c r="G6" s="18" t="str">
        <x:v>1 = no calcular MSFsc si free_day_alarm=TRUE.</x:v>
      </x:c>
    </x:row>
    <x:row r="7">
      <x:c r="A7" s="18" t="str">
        <x:v>sjl_shorter_interval_method</x:v>
      </x:c>
      <x:c r="B7" s="18" t="n">
        <x:v>1</x:v>
      </x:c>
      <x:c r="C7" s="18" t="str">
        <x:v>boolean</x:v>
      </x:c>
      <x:c r="D7" s="18" t="str">
        <x:v>https://docs.ropensci.org/mctq/articles/sjl-computation.html</x:v>
      </x:c>
      <x:c r="E7" s="18" t="str">
        <x:v>2026-10-04</x:v>
      </x:c>
      <x:c r="F7" s="18" t="str">
        <x:v>verificado</x:v>
      </x:c>
      <x:c r="G7" s="18" t="str">
        <x:v>Evita error al cruzar medianoche.</x:v>
      </x:c>
    </x:row>
    <x:row r="8">
      <x:c r="A8" s="18" t="str">
        <x:v>us_mean_sjl_hours</x:v>
      </x:c>
      <x:c r="B8" s="18" t="n">
        <x:v>1.1</x:v>
      </x:c>
      <x:c r="C8" s="18" t="str">
        <x:v>h</x:v>
      </x:c>
      <x:c r="D8" s="18" t="str">
        <x:v>https://jamanetwork.com/journals/jamanetworkopen/fullarticle/2798209</x:v>
      </x:c>
      <x:c r="E8" s="18" t="str">
        <x:v>2026-10-04</x:v>
      </x:c>
      <x:c r="F8" s="18" t="str">
        <x:v>verificado</x:v>
      </x:c>
      <x:c r="G8" s="18" t="str">
        <x:v>NHANES 2017–2020, adultos 20+.</x:v>
      </x:c>
    </x:row>
    <x:row r="9">
      <x:c r="A9" s="18" t="str">
        <x:v>us_prevalence_sjl_ge_1h</x:v>
      </x:c>
      <x:c r="B9" s="18" t="n">
        <x:v>0.465</x:v>
      </x:c>
      <x:c r="C9" s="18" t="str">
        <x:v>proporción</x:v>
      </x:c>
      <x:c r="D9" s="18" t="str">
        <x:v>https://jamanetwork.com/journals/jamanetworkopen/fullarticle/2798209</x:v>
      </x:c>
      <x:c r="E9" s="18" t="str">
        <x:v>2026-10-04</x:v>
      </x:c>
      <x:c r="F9" s="18" t="str">
        <x:v>verificado</x:v>
      </x:c>
      <x:c r="G9" s="18" t="str">
        <x:v>IC95% 42.6%–50.3%.</x:v>
      </x:c>
    </x:row>
    <x:row r="10">
      <x:c r="A10" s="18" t="str">
        <x:v>us_prevalence_sjl_ge_2h</x:v>
      </x:c>
      <x:c r="B10" s="18" t="n">
        <x:v>0.193</x:v>
      </x:c>
      <x:c r="C10" s="18" t="str">
        <x:v>proporción</x:v>
      </x:c>
      <x:c r="D10" s="18" t="str">
        <x:v>https://jamanetwork.com/journals/jamanetworkopen/fullarticle/2798209</x:v>
      </x:c>
      <x:c r="E10" s="18" t="str">
        <x:v>2026-10-04</x:v>
      </x:c>
      <x:c r="F10" s="18" t="str">
        <x:v>verificado</x:v>
      </x:c>
      <x:c r="G10" s="18" t="str">
        <x:v>IC95% 17.7%–20.9%.</x:v>
      </x:c>
    </x:row>
    <x:row r="11">
      <x:c r="A11" s="18" t="str">
        <x:v>input_time_uncertainty_min</x:v>
      </x:c>
      <x:c r="B11" s="18" t="n">
        <x:v>15</x:v>
      </x:c>
      <x:c r="C11" s="18" t="str">
        <x:v>min</x:v>
      </x:c>
      <x:c r="D11" s="18" t="str">
        <x:v>interno</x:v>
      </x:c>
      <x:c r="E11" s="18" t="str">
        <x:v>2026-10-04</x:v>
      </x:c>
      <x:c r="F11" s="18" t="str">
        <x:v>preliminar</x:v>
      </x:c>
      <x:c r="G11" s="18" t="str">
        <x:v>Escenario de sensibilidad; no IC estadístico.</x:v>
      </x:c>
    </x:row>
    <x:row r="12">
      <x:c r="A12" s="18" t="str">
        <x:v>planner_max_free_shift_min</x:v>
      </x:c>
      <x:c r="B12" s="18" t="n">
        <x:v>90</x:v>
      </x:c>
      <x:c r="C12" s="18" t="str">
        <x:v>min</x:v>
      </x:c>
      <x:c r="D12" s="18" t="str">
        <x:v>interno</x:v>
      </x:c>
      <x:c r="E12" s="18" t="str">
        <x:v>2026-10-04</x:v>
      </x:c>
      <x:c r="F12" s="18" t="str">
        <x:v>preliminar</x:v>
      </x:c>
      <x:c r="G12" s="18" t="str">
        <x:v>Tope de producto para evitar cambios extremos.</x:v>
      </x:c>
    </x:row>
    <x:row r="13">
      <x:c r="A13" s="18"/>
      <x:c r="B13" s="18"/>
      <x:c r="C13" s="18"/>
      <x:c r="D13" s="18"/>
      <x:c r="E13" s="18"/>
      <x:c r="F13" s="18"/>
      <x:c r="G13" s="18"/>
    </x:row>
  </x:sheetData>
  <x:conditionalFormatting sqref="F2:F13">
    <x:cfRule type="expression" dxfId="0" priority="1">
      <x:formula>F2="preliminar"</x:formula>
    </x:cfRule>
  </x:conditionalFormatting>
  <x:dataValidations count="1">
    <x:dataValidation type="list" sqref="F2:F13">
      <x:formula1>"verificado,preliminar"</x:formula1>
    </x:dataValidation>
  </x:dataValidation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14" hidden="0" customWidth="1"/>
    <x:col min="3" max="3" width="30" hidden="0" customWidth="1"/>
    <x:col min="4" max="4" width="14" hidden="0" customWidth="1"/>
    <x:col min="5" max="5" width="14" hidden="0" customWidth="1"/>
    <x:col min="6" max="6" width="14" hidden="0" customWidth="1"/>
    <x:col min="7" max="7" width="62" hidden="0" customWidth="1"/>
    <x:col min="8" max="8" width="16" hidden="0" customWidth="1"/>
    <x:col min="9" max="9" width="14" hidden="0" customWidth="1"/>
  </x:cols>
  <x:sheetData>
    <x:row r="1">
      <x:c r="A1" s="12" t="str">
        <x:v>pais</x:v>
      </x:c>
      <x:c r="B1" s="12" t="str">
        <x:v>periodo</x:v>
      </x:c>
      <x:c r="C1" s="12" t="str">
        <x:v>métrica</x:v>
      </x:c>
      <x:c r="D1" s="12" t="str">
        <x:v>umbral_h</x:v>
      </x:c>
      <x:c r="E1" s="12" t="str">
        <x:v>valor</x:v>
      </x:c>
      <x:c r="F1" s="12" t="str">
        <x:v>unidad</x:v>
      </x:c>
      <x:c r="G1" s="12" t="str">
        <x:v>fuente_url</x:v>
      </x:c>
      <x:c r="H1" s="12" t="str">
        <x:v>fecha_verificacion</x:v>
      </x:c>
      <x:c r="I1" s="12" t="str">
        <x:v>estado</x:v>
      </x:c>
    </x:row>
    <x:row r="2">
      <x:c r="A2" t="str">
        <x:v>Estados Unidos</x:v>
      </x:c>
      <x:c r="B2" t="str">
        <x:v>2017–2020</x:v>
      </x:c>
      <x:c r="C2" t="str">
        <x:v>media_social_jetlag</x:v>
      </x:c>
      <x:c r="D2"/>
      <x:c r="E2" t="n">
        <x:v>1.1</x:v>
      </x:c>
      <x:c r="F2" t="str">
        <x:v>h</x:v>
      </x:c>
      <x:c r="G2" t="str">
        <x:v>https://jamanetwork.com/journals/jamanetworkopen/fullarticle/2798209</x:v>
      </x:c>
      <x:c r="H2" s="18" t="str">
        <x:v>2026-10-04</x:v>
      </x:c>
      <x:c r="I2" s="18" t="str">
        <x:v>verificado</x:v>
      </x:c>
    </x:row>
    <x:row r="3">
      <x:c r="A3" t="str">
        <x:v>Estados Unidos</x:v>
      </x:c>
      <x:c r="B3" t="str">
        <x:v>2017–2020</x:v>
      </x:c>
      <x:c r="C3" t="str">
        <x:v>prevalencia_social_jetlag</x:v>
      </x:c>
      <x:c r="D3" t="n">
        <x:v>1</x:v>
      </x:c>
      <x:c r="E3" s="20" t="n">
        <x:v>0.465</x:v>
      </x:c>
      <x:c r="F3" t="str">
        <x:v>proporción</x:v>
      </x:c>
      <x:c r="G3" t="str">
        <x:v>https://jamanetwork.com/journals/jamanetworkopen/fullarticle/2798209</x:v>
      </x:c>
      <x:c r="H3" s="18" t="str">
        <x:v>2026-10-04</x:v>
      </x:c>
      <x:c r="I3" s="18" t="str">
        <x:v>verificado</x:v>
      </x:c>
    </x:row>
    <x:row r="4">
      <x:c r="A4" t="str">
        <x:v>Estados Unidos</x:v>
      </x:c>
      <x:c r="B4" t="str">
        <x:v>2017–2020</x:v>
      </x:c>
      <x:c r="C4" t="str">
        <x:v>prevalencia_social_jetlag</x:v>
      </x:c>
      <x:c r="D4" t="n">
        <x:v>2</x:v>
      </x:c>
      <x:c r="E4" s="20" t="n">
        <x:v>0.193</x:v>
      </x:c>
      <x:c r="F4" t="str">
        <x:v>proporción</x:v>
      </x:c>
      <x:c r="G4" t="str">
        <x:v>https://jamanetwork.com/journals/jamanetworkopen/fullarticle/2798209</x:v>
      </x:c>
      <x:c r="H4" s="18" t="str">
        <x:v>2026-10-04</x:v>
      </x:c>
      <x:c r="I4" s="18" t="str">
        <x:v>verificado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22" hidden="0" customWidth="1"/>
    <x:col min="3" max="3" width="10" hidden="0" customWidth="1"/>
    <x:col min="4" max="4" width="10" hidden="0" customWidth="1"/>
    <x:col min="5" max="5" width="28" hidden="0" customWidth="1"/>
    <x:col min="6" max="6" width="24" hidden="0" customWidth="1"/>
    <x:col min="7" max="7" width="58" hidden="0" customWidth="1"/>
    <x:col min="8" max="8" width="20" hidden="0" customWidth="1"/>
    <x:col min="9" max="9" width="14" hidden="0" customWidth="1"/>
  </x:cols>
  <x:sheetData>
    <x:row r="1">
      <x:c r="A1" s="12" t="str">
        <x:v>codigo</x:v>
      </x:c>
      <x:c r="B1" s="12" t="str">
        <x:v>pais</x:v>
      </x:c>
      <x:c r="C1" s="12" t="str">
        <x:v>moneda</x:v>
      </x:c>
      <x:c r="D1" s="12" t="str">
        <x:v>año</x:v>
      </x:c>
      <x:c r="E1" s="12" t="str">
        <x:v>factor_ppp_consumo_privado</x:v>
      </x:c>
      <x:c r="F1" s="12" t="str">
        <x:v>unidad</x:v>
      </x:c>
      <x:c r="G1" s="12" t="str">
        <x:v>fuente_url</x:v>
      </x:c>
      <x:c r="H1" s="12" t="str">
        <x:v>fecha_verificacion</x:v>
      </x:c>
      <x:c r="I1" s="12" t="str">
        <x:v>estado</x:v>
      </x:c>
    </x:row>
    <x:row r="2">
      <x:c r="A2" t="str">
        <x:v>US</x:v>
      </x:c>
      <x:c r="B2" t="str">
        <x:v>Estados Unidos</x:v>
      </x:c>
      <x:c r="C2" t="str">
        <x:v>USD</x:v>
      </x:c>
      <x:c r="D2" t="n">
        <x:v>2025</x:v>
      </x:c>
      <x:c r="E2" t="n">
        <x:v>1</x:v>
      </x:c>
      <x:c r="F2" t="str">
        <x:v>LCU por international $</x:v>
      </x:c>
      <x:c r="G2" t="str">
        <x:v>https://data.worldbank.org/indicator/PA.NUS.PRVT.PP</x:v>
      </x:c>
      <x:c r="H2" t="str">
        <x:v>2026-10-04</x:v>
      </x:c>
      <x:c r="I2" s="18" t="str">
        <x:v>verificado</x:v>
      </x:c>
    </x:row>
    <x:row r="3">
      <x:c r="A3" t="str">
        <x:v>BR</x:v>
      </x:c>
      <x:c r="B3" t="str">
        <x:v>Brasil</x:v>
      </x:c>
      <x:c r="C3" t="str">
        <x:v>BRL</x:v>
      </x:c>
      <x:c r="D3" t="n">
        <x:v>2025</x:v>
      </x:c>
      <x:c r="E3" t="n">
        <x:v>2.58</x:v>
      </x:c>
      <x:c r="F3" t="str">
        <x:v>LCU por international $</x:v>
      </x:c>
      <x:c r="G3" t="str">
        <x:v>https://data.worldbank.org/indicator/PA.NUS.PRVT.PP</x:v>
      </x:c>
      <x:c r="H3" t="str">
        <x:v>2026-10-04</x:v>
      </x:c>
      <x:c r="I3" s="18" t="str">
        <x:v>verificado</x:v>
      </x:c>
    </x:row>
    <x:row r="4">
      <x:c r="A4" t="str">
        <x:v>GB</x:v>
      </x:c>
      <x:c r="B4" t="str">
        <x:v>Reino Unido</x:v>
      </x:c>
      <x:c r="C4" t="str">
        <x:v>GBP</x:v>
      </x:c>
      <x:c r="D4" t="n">
        <x:v>2025</x:v>
      </x:c>
      <x:c r="E4" t="n">
        <x:v>0.7</x:v>
      </x:c>
      <x:c r="F4" t="str">
        <x:v>LCU por international $</x:v>
      </x:c>
      <x:c r="G4" t="str">
        <x:v>https://data.worldbank.org/indicator/PA.NUS.PRVT.PP</x:v>
      </x:c>
      <x:c r="H4" t="str">
        <x:v>2026-10-04</x:v>
      </x:c>
      <x:c r="I4" s="18" t="str">
        <x:v>verificado</x:v>
      </x:c>
    </x:row>
    <x:row r="5">
      <x:c r="A5" t="str">
        <x:v>CA</x:v>
      </x:c>
      <x:c r="B5" t="str">
        <x:v>Canadá</x:v>
      </x:c>
      <x:c r="C5" t="str">
        <x:v>CAD</x:v>
      </x:c>
      <x:c r="D5" t="n">
        <x:v>2025</x:v>
      </x:c>
      <x:c r="E5" t="n">
        <x:v>1.26</x:v>
      </x:c>
      <x:c r="F5" t="str">
        <x:v>LCU por international $</x:v>
      </x:c>
      <x:c r="G5" t="str">
        <x:v>https://data.worldbank.org/indicator/PA.NUS.PRVT.PP</x:v>
      </x:c>
      <x:c r="H5" t="str">
        <x:v>2026-10-04</x:v>
      </x:c>
      <x:c r="I5" s="18" t="str">
        <x:v>verificado</x:v>
      </x:c>
    </x:row>
    <x:row r="6">
      <x:c r="A6" t="str">
        <x:v>AU</x:v>
      </x:c>
      <x:c r="B6" t="str">
        <x:v>Australia</x:v>
      </x:c>
      <x:c r="C6" t="str">
        <x:v>AUD</x:v>
      </x:c>
      <x:c r="D6" t="n">
        <x:v>2025</x:v>
      </x:c>
      <x:c r="E6" t="n">
        <x:v>1.46</x:v>
      </x:c>
      <x:c r="F6" t="str">
        <x:v>LCU por international $</x:v>
      </x:c>
      <x:c r="G6" t="str">
        <x:v>https://data.worldbank.org/indicator/PA.NUS.PRVT.PP</x:v>
      </x:c>
      <x:c r="H6" t="str">
        <x:v>2026-10-04</x:v>
      </x:c>
      <x:c r="I6" s="18" t="str">
        <x:v>verificado</x:v>
      </x:c>
    </x:row>
    <x:row r="7">
      <x:c r="A7" t="str">
        <x:v>MX</x:v>
      </x:c>
      <x:c r="B7" t="str">
        <x:v>México</x:v>
      </x:c>
      <x:c r="C7" t="str">
        <x:v>MXN</x:v>
      </x:c>
      <x:c r="D7" t="n">
        <x:v>2025</x:v>
      </x:c>
      <x:c r="E7" t="n">
        <x:v>11.31</x:v>
      </x:c>
      <x:c r="F7" t="str">
        <x:v>LCU por international $</x:v>
      </x:c>
      <x:c r="G7" t="str">
        <x:v>https://data.worldbank.org/indicator/PA.NUS.PRVT.PP</x:v>
      </x:c>
      <x:c r="H7" t="str">
        <x:v>2026-10-04</x:v>
      </x:c>
      <x:c r="I7" s="18" t="str">
        <x:v>verificado</x:v>
      </x:c>
    </x:row>
    <x:row r="8">
      <x:c r="A8" t="str">
        <x:v>ES</x:v>
      </x:c>
      <x:c r="B8" t="str">
        <x:v>España</x:v>
      </x:c>
      <x:c r="C8" t="str">
        <x:v>EUR</x:v>
      </x:c>
      <x:c r="D8" t="n">
        <x:v>2025</x:v>
      </x:c>
      <x:c r="E8" t="n">
        <x:v>0.61</x:v>
      </x:c>
      <x:c r="F8" t="str">
        <x:v>LCU por international $</x:v>
      </x:c>
      <x:c r="G8" t="str">
        <x:v>https://data.worldbank.org/indicator/PA.NUS.PRVT.PP</x:v>
      </x:c>
      <x:c r="H8" t="str">
        <x:v>2026-10-04</x:v>
      </x:c>
      <x:c r="I8" s="18" t="str">
        <x:v>verificado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46" hidden="0" customWidth="1"/>
    <x:col min="3" max="3" width="70" hidden="0" customWidth="1"/>
    <x:col min="4" max="4" width="30" hidden="0" customWidth="1"/>
    <x:col min="5" max="5" width="16" hidden="0" customWidth="1"/>
    <x:col min="6" max="6" width="14" hidden="0" customWidth="1"/>
  </x:cols>
  <x:sheetData>
    <x:row r="1">
      <x:c r="A1" s="12" t="str">
        <x:v>id</x:v>
      </x:c>
      <x:c r="B1" s="12" t="str">
        <x:v>dato</x:v>
      </x:c>
      <x:c r="C1" s="12" t="str">
        <x:v>url</x:v>
      </x:c>
      <x:c r="D1" s="12" t="str">
        <x:v>licencia</x:v>
      </x:c>
      <x:c r="E1" s="12" t="str">
        <x:v>fecha</x:v>
      </x:c>
      <x:c r="F1" s="12" t="str">
        <x:v>estado</x:v>
      </x:c>
    </x:row>
    <x:row r="2">
      <x:c r="A2" s="18" t="str">
        <x:v>S01</x:v>
      </x:c>
      <x:c r="B2" s="18" t="str">
        <x:v>Fórmula SJL y método circular recomendado</x:v>
      </x:c>
      <x:c r="C2" s="18" t="str">
        <x:v>https://docs.ropensci.org/mctq/reference/sjl.html</x:v>
      </x:c>
      <x:c r="D2" s="18" t="str">
        <x:v>MIT (software mctq)</x:v>
      </x:c>
      <x:c r="E2" s="18" t="str">
        <x:v>2026-10-04</x:v>
      </x:c>
      <x:c r="F2" s="18" t="str">
        <x:v>verificado</x:v>
      </x:c>
    </x:row>
    <x:row r="3">
      <x:c r="A3" s="18" t="str">
        <x:v>S02</x:v>
      </x:c>
      <x:c r="B3" s="18" t="str">
        <x:v>Fórmula MSFsc y regla de alarma</x:v>
      </x:c>
      <x:c r="C3" s="18" t="str">
        <x:v>https://docs.ropensci.org/mctq/reference/msf_sc.html</x:v>
      </x:c>
      <x:c r="D3" s="18" t="str">
        <x:v>MIT (software mctq)</x:v>
      </x:c>
      <x:c r="E3" s="18" t="str">
        <x:v>2026-10-04</x:v>
      </x:c>
      <x:c r="F3" s="18" t="str">
        <x:v>verificado</x:v>
      </x:c>
    </x:row>
    <x:row r="4">
      <x:c r="A4" s="18" t="str">
        <x:v>S03</x:v>
      </x:c>
      <x:c r="B4" s="18" t="str">
        <x:v>Licencia del paquete mctq</x:v>
      </x:c>
      <x:c r="C4" s="18" t="str">
        <x:v>https://docs.ropensci.org/mctq/LICENSE.html</x:v>
      </x:c>
      <x:c r="D4" s="18" t="str">
        <x:v>MIT</x:v>
      </x:c>
      <x:c r="E4" s="18" t="str">
        <x:v>2026-10-04</x:v>
      </x:c>
      <x:c r="F4" s="18" t="str">
        <x:v>verificado</x:v>
      </x:c>
    </x:row>
    <x:row r="5">
      <x:c r="A5" s="18" t="str">
        <x:v>S04</x:v>
      </x:c>
      <x:c r="B5" s="18" t="str">
        <x:v>Validación MSFsc vs actigrafía r=0.73</x:v>
      </x:c>
      <x:c r="C5" s="18" t="str">
        <x:v>https://pmc.ncbi.nlm.nih.gov/articles/PMC5971234/</x:v>
      </x:c>
      <x:c r="D5" s="18" t="str">
        <x:v>Artículo open access; se usa solo evidencia/cita</x:v>
      </x:c>
      <x:c r="E5" s="18" t="str">
        <x:v>2026-10-04</x:v>
      </x:c>
      <x:c r="F5" s="18" t="str">
        <x:v>verificado</x:v>
      </x:c>
    </x:row>
    <x:row r="6">
      <x:c r="A6" s="18" t="str">
        <x:v>S05</x:v>
      </x:c>
      <x:c r="B6" s="18" t="str">
        <x:v>MSFsc vs DLMO r=0.68</x:v>
      </x:c>
      <x:c r="C6" s="18" t="str">
        <x:v>https://pubmed.ncbi.nlm.nih.gov/26243627/</x:v>
      </x:c>
      <x:c r="D6" s="18" t="str">
        <x:v>Referencia bibliográfica; no se redistribuye contenido</x:v>
      </x:c>
      <x:c r="E6" s="18" t="str">
        <x:v>2026-10-04</x:v>
      </x:c>
      <x:c r="F6" s="18" t="str">
        <x:v>verificado</x:v>
      </x:c>
    </x:row>
    <x:row r="7">
      <x:c r="A7" s="18" t="str">
        <x:v>S06</x:v>
      </x:c>
      <x:c r="B7" s="18" t="str">
        <x:v>NHANES SJL 1.10h; 46.5% &gt;=1h; 19.3% &gt;=2h</x:v>
      </x:c>
      <x:c r="C7" s="18" t="str">
        <x:v>https://jamanetwork.com/journals/jamanetworkopen/fullarticle/2798209</x:v>
      </x:c>
      <x:c r="D7" s="18" t="str">
        <x:v>CC BY</x:v>
      </x:c>
      <x:c r="E7" s="18" t="str">
        <x:v>2026-10-04</x:v>
      </x:c>
      <x:c r="F7" s="18" t="str">
        <x:v>verificado</x:v>
      </x:c>
    </x:row>
    <x:row r="8">
      <x:c r="A8" s="18" t="str">
        <x:v>S07</x:v>
      </x:c>
      <x:c r="B8" s="18" t="str">
        <x:v>Recomendación adultos 18-60: &gt;=7h</x:v>
      </x:c>
      <x:c r="C8" s="18" t="str">
        <x:v>https://www.cdc.gov/sleep/about/index.html</x:v>
      </x:c>
      <x:c r="D8" s="18" t="str">
        <x:v>Gobierno de EE. UU.; dato factual</x:v>
      </x:c>
      <x:c r="E8" s="18" t="str">
        <x:v>2026-10-04</x:v>
      </x:c>
      <x:c r="F8" s="18" t="str">
        <x:v>verificado</x:v>
      </x:c>
    </x:row>
    <x:row r="9">
      <x:c r="A9" s="18" t="str">
        <x:v>S08</x:v>
      </x:c>
      <x:c r="B9" s="18" t="str">
        <x:v>PPP consumo privado 2025 por país</x:v>
      </x:c>
      <x:c r="C9" s="18" t="str">
        <x:v>https://data.worldbank.org/indicator/PA.NUS.PRVT.PP</x:v>
      </x:c>
      <x:c r="D9" s="18" t="str">
        <x:v>CC BY 4.0</x:v>
      </x:c>
      <x:c r="E9" s="18" t="str">
        <x:v>2026-10-04</x:v>
      </x:c>
      <x:c r="F9" s="18" t="str">
        <x:v>verificado</x:v>
      </x:c>
    </x:row>
    <x:row r="10">
      <x:c r="A10" s="18" t="str">
        <x:v>S09</x:v>
      </x:c>
      <x:c r="B10" s="18" t="str">
        <x:v>Stripe US 2.9% + US$0.30 tarjeta doméstica online</x:v>
      </x:c>
      <x:c r="C10" s="18" t="str">
        <x:v>https://stripe.com/pricing</x:v>
      </x:c>
      <x:c r="D10" s="18" t="str">
        <x:v>Términos/precio público; solo estimación de costes</x:v>
      </x:c>
      <x:c r="E10" s="18" t="str">
        <x:v>2026-10-04</x:v>
      </x:c>
      <x:c r="F10" s="18" t="str">
        <x:v>verificado</x:v>
      </x:c>
    </x:row>
    <x:row r="11">
      <x:c r="A11" s="18" t="str">
        <x:v>S10</x:v>
      </x:c>
      <x:c r="B11" s="18" t="str">
        <x:v>Arcascope circadian models</x:v>
      </x:c>
      <x:c r="C11" s="18" t="str">
        <x:v>https://github.com/Arcascope/circadian</x:v>
      </x:c>
      <x:c r="D11" s="18" t="str">
        <x:v>MIT (LICENSE actual; metadata apache2 obsoleta)</x:v>
      </x:c>
      <x:c r="E11" s="18" t="str">
        <x:v>2026-10-04</x:v>
      </x:c>
      <x:c r="F11" s="18" t="str">
        <x:v>corregido</x:v>
      </x:c>
    </x:row>
    <x:row r="12">
      <x:c r="A12" s="18" t="str">
        <x:v>S11</x:v>
      </x:c>
      <x:c r="B12" s="18" t="str">
        <x:v>PhysioNet BIDSleep dataset license</x:v>
      </x:c>
      <x:c r="C12" s="18" t="str">
        <x:v>https://www.physionet.org/content/bidsleep-dataset/1.0.1/LICENSE.txt</x:v>
      </x:c>
      <x:c r="D12" s="18" t="str">
        <x:v>ODC-By; uso comercial explícito</x:v>
      </x:c>
      <x:c r="E12" s="18" t="str">
        <x:v>2026-10-04</x:v>
      </x:c>
      <x:c r="F12" s="18" t="str">
        <x:v>verificado</x:v>
      </x:c>
    </x:row>
    <x:row r="13">
      <x:c r="A13" s="18" t="str">
        <x:v>S12</x:v>
      </x:c>
      <x:c r="B13" s="18" t="str">
        <x:v>Oura API agreement</x:v>
      </x:c>
      <x:c r="C13" s="18" t="str">
        <x:v>https://cloud.ouraring.com/legal/api-agreement</x:v>
      </x:c>
      <x:c r="D13" s="18" t="str">
        <x:v>Propietaria; descartada como motor</x:v>
      </x:c>
      <x:c r="E13" s="18" t="str">
        <x:v>2026-10-04</x:v>
      </x:c>
      <x:c r="F13" s="18" t="str">
        <x:v>verificado</x:v>
      </x:c>
    </x:row>
    <x:row r="14">
      <x:c r="A14" t="str">
        <x:v>S13</x:v>
      </x:c>
      <x:c r="B14" t="str">
        <x:v>Fórmula Jankowski SJLsc (respaldo) y método circular</x:v>
      </x:c>
      <x:c r="C14" t="str">
        <x:v>https://docs.ropensci.org/mctq/reference/sjl_sc.html</x:v>
      </x:c>
      <x:c r="D14" t="str">
        <x:v>MIT (software mctq); fórmula publicada</x:v>
      </x:c>
      <x:c r="E14" t="str">
        <x:v>2026-10-04</x:v>
      </x:c>
      <x:c r="F14" t="str">
        <x:v>verificado</x:v>
      </x:c>
    </x:row>
    <x:row r="15">
      <x:c r="A15" s="18" t="str">
        <x:v>S14</x:v>
      </x:c>
      <x:c r="B15" s="18" t="str">
        <x:v>Permiso para usar el cuestionario MCTQ completo/ítems oficiales</x:v>
      </x:c>
      <x:c r="C15" s="18" t="str">
        <x:v>https://www.thewep.org/documentations/mctq/item/mctq</x:v>
      </x:c>
      <x:c r="D15" s="18" t="str">
        <x:v>Instrumento con copyright; TheWeP solicita pedir permiso para su uso</x:v>
      </x:c>
      <x:c r="E15" s="18" t="str">
        <x:v>2026-10-04</x:v>
      </x:c>
      <x:c r="F15" s="18" t="str">
        <x:v>verificado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6" hidden="0" customWidth="1"/>
    <x:col min="3" max="3" width="58" hidden="0" customWidth="1"/>
    <x:col min="4" max="4" width="64" hidden="0" customWidth="1"/>
  </x:cols>
  <x:sheetData>
    <x:row r="1">
      <x:c r="A1" s="12" t="str">
        <x:v>version</x:v>
      </x:c>
      <x:c r="B1" s="12" t="str">
        <x:v>fecha</x:v>
      </x:c>
      <x:c r="C1" s="12" t="str">
        <x:v>cambio</x:v>
      </x:c>
      <x:c r="D1" s="12" t="str">
        <x:v>motivo</x:v>
      </x:c>
    </x:row>
    <x:row r="2">
      <x:c r="A2" s="18" t="str">
        <x:v>2.0</x:v>
      </x:c>
      <x:c r="B2" s="18" t="str">
        <x:v>2026-10-04</x:v>
      </x:c>
      <x:c r="C2" s="18" t="str">
        <x:v>Se adopta SJL circular como cifra principal y MSFsc como proxy secundario.</x:v>
      </x:c>
      <x:c r="D2" s="18" t="str">
        <x:v>Evitar falsa precisión y mantener cálculo auditable.</x:v>
      </x:c>
    </x:row>
    <x:row r="3">
      <x:c r="A3" s="18" t="str">
        <x:v>2.0</x:v>
      </x:c>
      <x:c r="B3" s="18" t="str">
        <x:v>2026-10-04</x:v>
      </x:c>
      <x:c r="C3" s="18" t="str">
        <x:v>Se elimina Alignment Score 0–100 del core.</x:v>
      </x:c>
      <x:c r="D3" s="18" t="str">
        <x:v>No existe escala clínica universal validada; evita mapeo arbitrario.</x:v>
      </x:c>
    </x:row>
    <x:row r="4">
      <x:c r="A4" s="18" t="str">
        <x:v>2.0</x:v>
      </x:c>
      <x:c r="B4" s="18" t="str">
        <x:v>2026-10-04</x:v>
      </x:c>
      <x:c r="C4" s="18" t="str">
        <x:v>Se añade planificador determinista y sensibilidad de autorreporte.</x:v>
      </x:c>
      <x:c r="D4" s="18" t="str">
        <x:v>Dar valor accionable sin afirmar adaptación fisiológica.</x:v>
      </x:c>
    </x:row>
    <x:row r="5">
      <x:c r="A5" s="18" t="str">
        <x:v>2.0</x:v>
      </x:c>
      <x:c r="B5" s="18" t="str">
        <x:v>2026-10-04</x:v>
      </x:c>
      <x:c r="C5" s="18" t="str">
        <x:v>Se añade tabla PPP 2025 World Bank para precios localizados.</x:v>
      </x:c>
      <x:c r="D5" s="18" t="str">
        <x:v>Anclar monetización a paridad de poder adquisitivo.</x:v>
      </x:c>
    </x:row>
    <x:row r="6">
      <x:c r="A6" t="str">
        <x:v>2.0</x:v>
      </x:c>
      <x:c r="B6" t="str">
        <x:v>2026-10-04</x:v>
      </x:c>
      <x:c r="C6" t="str">
        <x:v>Se añade Jankowski SJLsc como respaldo de sensibilidad metodológica.</x:v>
      </x:c>
      <x:c r="D6" t="str">
        <x:v>Tiene fórmula publicada e implementación MIT, pero es una alternativa discutida; no reemplaza SJL principal.</x:v>
      </x:c>
    </x:row>
    <x:row r="7">
      <x:c r="A7" t="str">
        <x:v>2.0</x:v>
      </x:c>
      <x:c r="B7" t="str">
        <x:v>2026-10-04</x:v>
      </x:c>
      <x:c r="C7" t="str">
        <x:v>Se retira plan_rounding_min del modelo activo.</x:v>
      </x:c>
      <x:c r="D7" t="str">
        <x:v>El parámetro no participaba en el cálculo; se elimina para evitar configuración muerta.</x:v>
      </x:c>
    </x:row>
    <x:row r="8">
      <x:c r="A8" s="18" t="str">
        <x:v>3.0</x:v>
      </x:c>
      <x:c r="B8" s="18" t="str">
        <x:v>2026-10-04</x:v>
      </x:c>
      <x:c r="C8" s="18" t="str">
        <x:v>Se alinea wake_flexibility_min a entero 0–120 en contrato, esquema y diccionario.</x:v>
      </x:c>
      <x:c r="D8" s="18" t="str">
        <x:v>Los vectores TV08/TV09 y el motor ya soportaban 45 min; se elimina la contradicción del enum.</x:v>
      </x:c>
    </x:row>
    <x:row r="9">
      <x:c r="A9" s="18" t="str">
        <x:v>3.0</x:v>
      </x:c>
      <x:c r="B9" s="18" t="str">
        <x:v>2026-10-04</x:v>
      </x:c>
      <x:c r="C9" s="18" t="str">
        <x:v>Se endurece validación del motor para rechazar decimales, booleanos, NaN/Inf y fuera de rango.</x:v>
      </x:c>
      <x:c r="D9" s="18" t="str">
        <x:v>Evitar truncamiento silencioso de inputs como workdays_per_week=5.9.</x:v>
      </x:c>
    </x:row>
    <x:row r="10">
      <x:c r="A10" s="18" t="str">
        <x:v>3.0</x:v>
      </x:c>
      <x:c r="B10" s="18" t="str">
        <x:v>2026-10-04</x:v>
      </x:c>
      <x:c r="C10" s="18" t="str">
        <x:v>Se corrige licencia de Arcascope/circadian de Apache-2.0 a MIT y se añade permiso MCTQ como fuente S14.</x:v>
      </x:c>
      <x:c r="D10" s="18" t="str">
        <x:v>Verificación web de licencia actual y requisitos de uso del instrumento.</x:v>
      </x:c>
    </x:row>
    <x:row r="11">
      <x:c r="A11" s="18" t="str">
        <x:v>3.0</x:v>
      </x:c>
      <x:c r="B11" s="18" t="str">
        <x:v>2026-10-04</x:v>
      </x:c>
      <x:c r="C11" s="18" t="str">
        <x:v>Se añaden TV17–TV21 para bordes de 12 h, duración 3/14 h y monotonicidad de flexibilidad.</x:v>
      </x:c>
      <x:c r="D11" s="18" t="str">
        <x:v>Aumentar cobertura de robustez sin alterar fórmula científica.</x:v>
      </x:c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18" hidden="0" customWidth="1"/>
    <x:col min="3" max="3" width="4" hidden="0" customWidth="1"/>
    <x:col min="4" max="4" width="34" hidden="0" customWidth="1"/>
    <x:col min="5" max="5" width="24" hidden="0" customWidth="1"/>
  </x:cols>
  <x:sheetData>
    <x:row r="1">
      <x:c r="A1" s="4" t="str">
        <x:v>Motor de referencia — caso de ejemplo (fórmulas vivas)</x:v>
      </x:c>
      <x:c r="B1" s="4"/>
      <x:c r="C1" s="4"/>
      <x:c r="D1" s="4"/>
      <x:c r="E1" s="4"/>
    </x:row>
    <x:row r="3">
      <x:c r="A3" s="12" t="str">
        <x:v>Input</x:v>
      </x:c>
      <x:c r="B3" s="12" t="str">
        <x:v>Valor</x:v>
      </x:c>
      <x:c r="D3" s="12" t="str">
        <x:v>Métrica</x:v>
      </x:c>
      <x:c r="E3" s="12" t="str">
        <x:v>Resultado</x:v>
      </x:c>
    </x:row>
    <x:row r="4">
      <x:c r="A4" t="str">
        <x:v>work_bedtime</x:v>
      </x:c>
      <x:c r="B4" s="24" t="n">
        <x:v>0</x:v>
      </x:c>
      <x:c r="D4" t="str">
        <x:v>sleep_onset_work</x:v>
      </x:c>
      <x:c r="E4" s="24" t="n">
        <x:f>MOD(B4+B5/1440,1)</x:f>
        <x:v>0.010416666666666666</x:v>
      </x:c>
    </x:row>
    <x:row r="5">
      <x:c r="A5" t="str">
        <x:v>sleep_latency_min</x:v>
      </x:c>
      <x:c r="B5" t="n">
        <x:v>15</x:v>
      </x:c>
      <x:c r="D5" t="str">
        <x:v>sleep_onset_free</x:v>
      </x:c>
      <x:c r="E5" s="24" t="n">
        <x:f>MOD(B7+B5/1440,1)</x:f>
        <x:v>0.07291666666666667</x:v>
      </x:c>
    </x:row>
    <x:row r="6">
      <x:c r="A6" t="str">
        <x:v>work_wake_time</x:v>
      </x:c>
      <x:c r="B6" s="24" t="n">
        <x:v>0.2916666666666667</x:v>
      </x:c>
      <x:c r="D6" t="str">
        <x:v>sleep_duration_work_h</x:v>
      </x:c>
      <x:c r="E6" s="26" t="n">
        <x:f>MOD(B6-E4,1)*24</x:f>
        <x:v>6.75</x:v>
      </x:c>
    </x:row>
    <x:row r="7">
      <x:c r="A7" t="str">
        <x:v>free_bedtime</x:v>
      </x:c>
      <x:c r="B7" s="24" t="n">
        <x:v>0.0625</x:v>
      </x:c>
      <x:c r="D7" t="str">
        <x:v>sleep_duration_free_h</x:v>
      </x:c>
      <x:c r="E7" s="26" t="n">
        <x:f>MOD(B8-E5,1)*24</x:f>
        <x:v>7.749999999999999</x:v>
      </x:c>
    </x:row>
    <x:row r="8">
      <x:c r="A8" t="str">
        <x:v>free_wake_time</x:v>
      </x:c>
      <x:c r="B8" s="24" t="n">
        <x:v>0.3958333333333333</x:v>
      </x:c>
      <x:c r="D8" t="str">
        <x:v>mid_sleep_work</x:v>
      </x:c>
      <x:c r="E8" s="24" t="n">
        <x:f>MOD(E4+E6/48,1)</x:f>
        <x:v>0.15104166666666666</x:v>
      </x:c>
    </x:row>
    <x:row r="9">
      <x:c r="A9" t="str">
        <x:v>workdays_per_week</x:v>
      </x:c>
      <x:c r="B9" t="n">
        <x:v>5</x:v>
      </x:c>
      <x:c r="D9" t="str">
        <x:v>mid_sleep_free</x:v>
      </x:c>
      <x:c r="E9" s="24" t="n">
        <x:f>MOD(E5+E7/48,1)</x:f>
        <x:v>0.234375</x:v>
      </x:c>
    </x:row>
    <x:row r="10">
      <x:c r="A10" t="str">
        <x:v>free_day_alarm</x:v>
      </x:c>
      <x:c r="B10" s="22" t="b">
        <x:v>0</x:v>
      </x:c>
      <x:c r="D10" t="str">
        <x:v>sleep_duration_week_h</x:v>
      </x:c>
      <x:c r="E10" s="26" t="n">
        <x:f>(B9*E6+(7-B9)*E7)/7</x:f>
        <x:v>7.035714285714286</x:v>
      </x:c>
    </x:row>
    <x:row r="11">
      <x:c r="A11" t="str">
        <x:v>wake_flexibility_min</x:v>
      </x:c>
      <x:c r="B11" t="n">
        <x:v>60</x:v>
      </x:c>
      <x:c r="D11" t="str">
        <x:v>msf_sc</x:v>
      </x:c>
      <x:c r="E11" s="24" t="n">
        <x:f>IF(B10,"",IF(E7&lt;=E6,E9,MOD(E9-(E7-E10)/48,1)))</x:f>
        <x:v>0.21949404761904764</x:v>
      </x:c>
    </x:row>
    <x:row r="12">
      <x:c r="D12" t="str">
        <x:v>social_jetlag_relative_h</x:v>
      </x:c>
      <x:c r="E12" s="26" t="n">
        <x:f>(MOD(E9-E8+0.5,1)-0.5)*24</x:f>
        <x:v>2.000000000000001</x:v>
      </x:c>
    </x:row>
    <x:row r="13">
      <x:c r="A13" s="31" t="str"/>
      <x:c r="B13" s="31" t="str"/>
      <x:c r="C13" s="31" t="str"/>
      <x:c r="D13" s="31" t="str">
        <x:v>social_jetlag_h</x:v>
      </x:c>
      <x:c r="E13" s="32" t="n">
        <x:f>ABS(E12)</x:f>
        <x:v>2.000000000000001</x:v>
      </x:c>
    </x:row>
    <x:row r="14">
      <x:c r="A14" s="40" t="str"/>
      <x:c r="B14" s="40" t="str"/>
      <x:c r="C14" s="40" t="str"/>
      <x:c r="D14" s="40" t="str">
        <x:v>work_shift_min</x:v>
      </x:c>
      <x:c r="E14" s="40" t="n">
        <x:f>IF(E12=0,0,SIGN(E12)*MIN(E13*60,B11))</x:f>
        <x:v>60</x:v>
      </x:c>
    </x:row>
    <x:row r="15">
      <x:c r="A15" s="40" t="str"/>
      <x:c r="B15" s="40" t="str"/>
      <x:c r="C15" s="40" t="str"/>
      <x:c r="D15" s="40" t="str">
        <x:v>free_shift_min</x:v>
      </x:c>
      <x:c r="E15" s="40" t="n">
        <x:f>IF(E12=0,0,-SIGN(E12)*MIN(MAX(E13*60-ABS(E14),0),Parametros!$B$12))</x:f>
        <x:v>-60.00000000000006</x:v>
      </x:c>
    </x:row>
    <x:row r="16">
      <x:c r="D16" t="str">
        <x:v>planned_social_jetlag_h</x:v>
      </x:c>
      <x:c r="E16" s="26" t="n">
        <x:f>ABS((MOD((E9+E15/1440)-(E8+E14/1440)+0.5,1)-0.5)*24)</x:f>
        <x:v>0</x:v>
      </x:c>
    </x:row>
    <x:row r="17">
      <x:c r="D17" t="str">
        <x:v>sjl_sensitivity_low_h</x:v>
      </x:c>
      <x:c r="E17" s="26" t="n">
        <x:f>MAX(0,E13-2*Parametros!$B$11/60)</x:f>
        <x:v>1.5000000000000009</x:v>
      </x:c>
    </x:row>
    <x:row r="18">
      <x:c r="D18" t="str">
        <x:v>sjl_sensitivity_high_h</x:v>
      </x:c>
      <x:c r="E18" s="26" t="n">
        <x:f>MIN(12,E13+2*Parametros!$B$11/60)</x:f>
        <x:v>2.500000000000001</x:v>
      </x:c>
    </x:row>
    <x:row r="19">
      <x:c r="D19" t="str">
        <x:v>reference_band</x:v>
      </x:c>
      <x:c r="E19" t="str">
        <x:f>IF(E13&lt;1,"menos_de_1h",IF(E13&lt;2,"1h_a_menos_de_2h","2h_o_mas"))</x:f>
        <x:v>2h_o_mas</x:v>
      </x:c>
    </x:row>
    <x:row r="20">
      <x:c r="D20" t="str">
        <x:v>backup_sjlsc_h</x:v>
      </x:c>
      <x:c r="E20" s="26" t="n">
        <x:f>IF(AND(E6&gt;E7,B6&lt;=B8),ABS((MOD(B8-B6+0.5,1)-0.5)*24),ABS((MOD(E5-E4+0.5,1)-0.5)*24))</x:f>
        <x:v>1.5</x:v>
      </x:c>
    </x:row>
    <x:row r="22">
      <x:c r="A22" s="49" t="str">
        <x:v>Notas</x:v>
      </x:c>
      <x:c r="B22" s="49" t="str"/>
      <x:c r="C22" s="49" t="str"/>
      <x:c r="D22" s="49" t="str"/>
      <x:c r="E22" s="49" t="str"/>
    </x:row>
    <x:row r="23">
      <x:c r="A23" s="18" t="str">
        <x:v>El plan conserva la duración de sueño y mueve el horario; es una simulación de calendario, no una predicción fisiológica.</x:v>
      </x:c>
      <x:c r="B23" s="18" t="str"/>
      <x:c r="C23" s="18" t="str"/>
      <x:c r="D23" s="18" t="str"/>
      <x:c r="E23" s="18" t="str"/>
    </x:row>
    <x:row r="24">
      <x:c r="A24" s="18" t="str">
        <x:v>El rango de sensibilidad es un escenario por incertidumbre de autorreporte, no un intervalo de confianza estadístico.</x:v>
      </x:c>
      <x:c r="B24" s="18" t="str"/>
      <x:c r="C24" s="18" t="str"/>
      <x:c r="D24" s="18" t="str"/>
      <x:c r="E24" s="18" t="str"/>
    </x:row>
  </x:sheetData>
  <x:mergeCells>
    <x:mergeCell ref="A1:E1"/>
  </x:mergeCells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8" hidden="0" customWidth="1"/>
    <x:col min="3" max="3" width="38" hidden="0" customWidth="1"/>
    <x:col min="4" max="4" width="16" hidden="0" customWidth="1"/>
    <x:col min="5" max="5" width="12" hidden="0" customWidth="1"/>
    <x:col min="6" max="6" width="14" hidden="0" customWidth="1"/>
    <x:col min="7" max="7" width="16" hidden="0" customWidth="1"/>
    <x:col min="8" max="8" width="14" hidden="0" customWidth="1"/>
    <x:col min="9" max="9" width="10" hidden="0" customWidth="1"/>
    <x:col min="10" max="10" width="12" hidden="0" customWidth="1"/>
    <x:col min="11" max="11" width="10" hidden="0" customWidth="1"/>
    <x:col min="12" max="12" width="16" hidden="0" customWidth="1"/>
    <x:col min="13" max="13" width="18" hidden="0" customWidth="1"/>
    <x:col min="14" max="14" width="16" hidden="0" customWidth="1"/>
    <x:col min="15" max="15" width="14" hidden="0" customWidth="1"/>
    <x:col min="16" max="16" width="18" hidden="0" customWidth="1"/>
  </x:cols>
  <x:sheetData>
    <x:row r="1">
      <x:c r="A1" s="12" t="str">
        <x:v>case_id</x:v>
      </x:c>
      <x:c r="B1" s="12" t="str">
        <x:v>country_context</x:v>
      </x:c>
      <x:c r="C1" s="12" t="str">
        <x:v>description</x:v>
      </x:c>
      <x:c r="D1" s="12" t="str">
        <x:v>work_bedtime</x:v>
      </x:c>
      <x:c r="E1" s="12" t="str">
        <x:v>latency_min</x:v>
      </x:c>
      <x:c r="F1" s="12" t="str">
        <x:v>work_wake</x:v>
      </x:c>
      <x:c r="G1" s="12" t="str">
        <x:v>free_bedtime</x:v>
      </x:c>
      <x:c r="H1" s="12" t="str">
        <x:v>free_wake</x:v>
      </x:c>
      <x:c r="I1" s="12" t="str">
        <x:v>workdays</x:v>
      </x:c>
      <x:c r="J1" s="12" t="str">
        <x:v>alarm_free</x:v>
      </x:c>
      <x:c r="K1" s="12" t="str">
        <x:v>flex_min</x:v>
      </x:c>
      <x:c r="L1" s="12" t="str">
        <x:v>expected_sjl_h</x:v>
      </x:c>
      <x:c r="M1" s="12" t="str">
        <x:v>expected_plan_sjl_h</x:v>
      </x:c>
      <x:c r="N1" s="12" t="str">
        <x:v>expected_msfsc</x:v>
      </x:c>
      <x:c r="O1" s="12" t="str">
        <x:v>warnings_count</x:v>
      </x:c>
      <x:c r="P1" s="12" t="str">
        <x:v>expected_sjlsc_h</x:v>
      </x:c>
    </x:row>
    <x:row r="2">
      <x:c r="A2" s="18" t="str">
        <x:v>TV01</x:v>
      </x:c>
      <x:c r="B2" s="18" t="str">
        <x:v>USA</x:v>
      </x:c>
      <x:c r="C2" s="18" t="str">
        <x:v>US_typical</x:v>
      </x:c>
      <x:c r="D2" s="18" t="str">
        <x:v>23:30</x:v>
      </x:c>
      <x:c r="E2" s="18" t="n">
        <x:v>15</x:v>
      </x:c>
      <x:c r="F2" s="18" t="str">
        <x:v>06:45</x:v>
      </x:c>
      <x:c r="G2" s="18" t="str">
        <x:v>01:00</x:v>
      </x:c>
      <x:c r="H2" s="18" t="str">
        <x:v>09:00</x:v>
      </x:c>
      <x:c r="I2" s="18" t="n">
        <x:v>5</x:v>
      </x:c>
      <x:c r="J2" s="44" t="b">
        <x:v>0</x:v>
      </x:c>
      <x:c r="K2" s="18" t="n">
        <x:v>30</x:v>
      </x:c>
      <x:c r="L2" s="45" t="n">
        <x:v>1.875</x:v>
      </x:c>
      <x:c r="M2" s="45" t="n">
        <x:v>0</x:v>
      </x:c>
      <x:c r="N2" s="18" t="str">
        <x:v>04:51</x:v>
      </x:c>
      <x:c r="O2" s="18" t="n">
        <x:v>0</x:v>
      </x:c>
      <x:c r="P2" s="26" t="n">
        <x:v>1.5</x:v>
      </x:c>
    </x:row>
    <x:row r="3">
      <x:c r="A3" s="18" t="str">
        <x:v>TV02</x:v>
      </x:c>
      <x:c r="B3" s="18" t="str">
        <x:v>BRA</x:v>
      </x:c>
      <x:c r="C3" s="18" t="str">
        <x:v>BR_late_schedule</x:v>
      </x:c>
      <x:c r="D3" s="18" t="str">
        <x:v>00:30</x:v>
      </x:c>
      <x:c r="E3" s="18" t="n">
        <x:v>20</x:v>
      </x:c>
      <x:c r="F3" s="18" t="str">
        <x:v>07:30</x:v>
      </x:c>
      <x:c r="G3" s="18" t="str">
        <x:v>02:00</x:v>
      </x:c>
      <x:c r="H3" s="18" t="str">
        <x:v>10:00</x:v>
      </x:c>
      <x:c r="I3" s="18" t="n">
        <x:v>5</x:v>
      </x:c>
      <x:c r="J3" s="44" t="b">
        <x:v>0</x:v>
      </x:c>
      <x:c r="K3" s="18" t="n">
        <x:v>60</x:v>
      </x:c>
      <x:c r="L3" s="45" t="n">
        <x:v>2</x:v>
      </x:c>
      <x:c r="M3" s="45" t="n">
        <x:v>0</x:v>
      </x:c>
      <x:c r="N3" s="18" t="str">
        <x:v>05:49</x:v>
      </x:c>
      <x:c r="O3" s="18" t="n">
        <x:v>1</x:v>
      </x:c>
      <x:c r="P3" s="26" t="n">
        <x:v>1.5</x:v>
      </x:c>
    </x:row>
    <x:row r="4">
      <x:c r="A4" s="18" t="str">
        <x:v>TV03</x:v>
      </x:c>
      <x:c r="B4" s="18" t="str">
        <x:v>GBR</x:v>
      </x:c>
      <x:c r="C4" s="18" t="str">
        <x:v>UK_early_schedule</x:v>
      </x:c>
      <x:c r="D4" s="18" t="str">
        <x:v>22:45</x:v>
      </x:c>
      <x:c r="E4" s="18" t="n">
        <x:v>10</x:v>
      </x:c>
      <x:c r="F4" s="18" t="str">
        <x:v>06:15</x:v>
      </x:c>
      <x:c r="G4" s="18" t="str">
        <x:v>23:30</x:v>
      </x:c>
      <x:c r="H4" s="18" t="str">
        <x:v>07:30</x:v>
      </x:c>
      <x:c r="I4" s="18" t="n">
        <x:v>5</x:v>
      </x:c>
      <x:c r="J4" s="44" t="b">
        <x:v>0</x:v>
      </x:c>
      <x:c r="K4" s="18" t="n">
        <x:v>30</x:v>
      </x:c>
      <x:c r="L4" s="45" t="n">
        <x:v>1</x:v>
      </x:c>
      <x:c r="M4" s="45" t="n">
        <x:v>0</x:v>
      </x:c>
      <x:c r="N4" s="18" t="str">
        <x:v>03:24</x:v>
      </x:c>
      <x:c r="O4" s="18" t="n">
        <x:v>0</x:v>
      </x:c>
      <x:c r="P4" s="26" t="n">
        <x:v>0.75</x:v>
      </x:c>
    </x:row>
    <x:row r="5">
      <x:c r="A5" s="18" t="str">
        <x:v>TV04</x:v>
      </x:c>
      <x:c r="B5" s="18" t="str">
        <x:v>—</x:v>
      </x:c>
      <x:c r="C5" s="18" t="str">
        <x:v>zero_social_jetlag</x:v>
      </x:c>
      <x:c r="D5" s="18" t="str">
        <x:v>23:00</x:v>
      </x:c>
      <x:c r="E5" s="18" t="n">
        <x:v>15</x:v>
      </x:c>
      <x:c r="F5" s="18" t="str">
        <x:v>07:00</x:v>
      </x:c>
      <x:c r="G5" s="18" t="str">
        <x:v>23:00</x:v>
      </x:c>
      <x:c r="H5" s="18" t="str">
        <x:v>07:00</x:v>
      </x:c>
      <x:c r="I5" s="18" t="n">
        <x:v>5</x:v>
      </x:c>
      <x:c r="J5" s="44" t="b">
        <x:v>0</x:v>
      </x:c>
      <x:c r="K5" s="18" t="n">
        <x:v>0</x:v>
      </x:c>
      <x:c r="L5" s="45" t="n">
        <x:v>0</x:v>
      </x:c>
      <x:c r="M5" s="45" t="n">
        <x:v>0</x:v>
      </x:c>
      <x:c r="N5" s="18" t="str">
        <x:v>03:08</x:v>
      </x:c>
      <x:c r="O5" s="18" t="n">
        <x:v>0</x:v>
      </x:c>
      <x:c r="P5" s="26" t="n">
        <x:v>0</x:v>
      </x:c>
    </x:row>
    <x:row r="6">
      <x:c r="A6" s="18" t="str">
        <x:v>TV05</x:v>
      </x:c>
      <x:c r="B6" s="18" t="str">
        <x:v>—</x:v>
      </x:c>
      <x:c r="C6" s="18" t="str">
        <x:v>cross_midnight_midpoints</x:v>
      </x:c>
      <x:c r="D6" s="18" t="str">
        <x:v>21:00</x:v>
      </x:c>
      <x:c r="E6" s="18" t="n">
        <x:v>0</x:v>
      </x:c>
      <x:c r="F6" s="18" t="str">
        <x:v>05:00</x:v>
      </x:c>
      <x:c r="G6" s="18" t="str">
        <x:v>23:00</x:v>
      </x:c>
      <x:c r="H6" s="18" t="str">
        <x:v>07:00</x:v>
      </x:c>
      <x:c r="I6" s="18" t="n">
        <x:v>5</x:v>
      </x:c>
      <x:c r="J6" s="44" t="b">
        <x:v>0</x:v>
      </x:c>
      <x:c r="K6" s="18" t="n">
        <x:v>30</x:v>
      </x:c>
      <x:c r="L6" s="45" t="n">
        <x:v>2</x:v>
      </x:c>
      <x:c r="M6" s="45" t="n">
        <x:v>0</x:v>
      </x:c>
      <x:c r="N6" s="18" t="str">
        <x:v>03:00</x:v>
      </x:c>
      <x:c r="O6" s="18" t="n">
        <x:v>0</x:v>
      </x:c>
      <x:c r="P6" s="26" t="n">
        <x:v>2</x:v>
      </x:c>
    </x:row>
    <x:row r="7">
      <x:c r="A7" s="18" t="str">
        <x:v>TV06</x:v>
      </x:c>
      <x:c r="B7" s="18" t="str">
        <x:v>—</x:v>
      </x:c>
      <x:c r="C7" s="18" t="str">
        <x:v>negative_relative_sjl</x:v>
      </x:c>
      <x:c r="D7" s="18" t="str">
        <x:v>01:00</x:v>
      </x:c>
      <x:c r="E7" s="18" t="n">
        <x:v>0</x:v>
      </x:c>
      <x:c r="F7" s="18" t="str">
        <x:v>09:00</x:v>
      </x:c>
      <x:c r="G7" s="18" t="str">
        <x:v>23:00</x:v>
      </x:c>
      <x:c r="H7" s="18" t="str">
        <x:v>07:00</x:v>
      </x:c>
      <x:c r="I7" s="18" t="n">
        <x:v>5</x:v>
      </x:c>
      <x:c r="J7" s="44" t="b">
        <x:v>0</x:v>
      </x:c>
      <x:c r="K7" s="18" t="n">
        <x:v>30</x:v>
      </x:c>
      <x:c r="L7" s="45" t="n">
        <x:v>2</x:v>
      </x:c>
      <x:c r="M7" s="45" t="n">
        <x:v>0</x:v>
      </x:c>
      <x:c r="N7" s="18" t="str">
        <x:v>03:00</x:v>
      </x:c>
      <x:c r="O7" s="18" t="n">
        <x:v>0</x:v>
      </x:c>
      <x:c r="P7" s="26" t="n">
        <x:v>2</x:v>
      </x:c>
    </x:row>
    <x:row r="8">
      <x:c r="A8" s="18" t="str">
        <x:v>TV07</x:v>
      </x:c>
      <x:c r="B8" s="18" t="str">
        <x:v>—</x:v>
      </x:c>
      <x:c r="C8" s="18" t="str">
        <x:v>max_latency_120min</x:v>
      </x:c>
      <x:c r="D8" s="18" t="str">
        <x:v>21:00</x:v>
      </x:c>
      <x:c r="E8" s="18" t="n">
        <x:v>120</x:v>
      </x:c>
      <x:c r="F8" s="18" t="str">
        <x:v>07:00</x:v>
      </x:c>
      <x:c r="G8" s="18" t="str">
        <x:v>22:00</x:v>
      </x:c>
      <x:c r="H8" s="18" t="str">
        <x:v>08:00</x:v>
      </x:c>
      <x:c r="I8" s="18" t="n">
        <x:v>5</x:v>
      </x:c>
      <x:c r="J8" s="44" t="b">
        <x:v>0</x:v>
      </x:c>
      <x:c r="K8" s="18" t="n">
        <x:v>60</x:v>
      </x:c>
      <x:c r="L8" s="45" t="n">
        <x:v>1</x:v>
      </x:c>
      <x:c r="M8" s="45" t="n">
        <x:v>0</x:v>
      </x:c>
      <x:c r="N8" s="18" t="str">
        <x:v>04:00</x:v>
      </x:c>
      <x:c r="O8" s="18" t="n">
        <x:v>0</x:v>
      </x:c>
      <x:c r="P8" s="26" t="n">
        <x:v>1</x:v>
      </x:c>
    </x:row>
    <x:row r="9">
      <x:c r="A9" s="18" t="str">
        <x:v>TV08</x:v>
      </x:c>
      <x:c r="B9" s="18" t="str">
        <x:v>—</x:v>
      </x:c>
      <x:c r="C9" s="18" t="str">
        <x:v>min_workdays_1</x:v>
      </x:c>
      <x:c r="D9" s="18" t="str">
        <x:v>23:00</x:v>
      </x:c>
      <x:c r="E9" s="18" t="n">
        <x:v>20</x:v>
      </x:c>
      <x:c r="F9" s="18" t="str">
        <x:v>06:30</x:v>
      </x:c>
      <x:c r="G9" s="18" t="str">
        <x:v>00:30</x:v>
      </x:c>
      <x:c r="H9" s="18" t="str">
        <x:v>08:30</x:v>
      </x:c>
      <x:c r="I9" s="18" t="n">
        <x:v>1</x:v>
      </x:c>
      <x:c r="J9" s="44" t="b">
        <x:v>0</x:v>
      </x:c>
      <x:c r="K9" s="18" t="n">
        <x:v>45</x:v>
      </x:c>
      <x:c r="L9" s="45" t="n">
        <x:v>1.75</x:v>
      </x:c>
      <x:c r="M9" s="45" t="n">
        <x:v>0</x:v>
      </x:c>
      <x:c r="N9" s="18" t="str">
        <x:v>04:38</x:v>
      </x:c>
      <x:c r="O9" s="18" t="n">
        <x:v>0</x:v>
      </x:c>
      <x:c r="P9" s="26" t="n">
        <x:v>1.5</x:v>
      </x:c>
    </x:row>
    <x:row r="10">
      <x:c r="A10" s="18" t="str">
        <x:v>TV09</x:v>
      </x:c>
      <x:c r="B10" s="18" t="str">
        <x:v>—</x:v>
      </x:c>
      <x:c r="C10" s="18" t="str">
        <x:v>max_workdays_6</x:v>
      </x:c>
      <x:c r="D10" s="18" t="str">
        <x:v>23:15</x:v>
      </x:c>
      <x:c r="E10" s="18" t="n">
        <x:v>15</x:v>
      </x:c>
      <x:c r="F10" s="18" t="str">
        <x:v>06:30</x:v>
      </x:c>
      <x:c r="G10" s="18" t="str">
        <x:v>01:15</x:v>
      </x:c>
      <x:c r="H10" s="18" t="str">
        <x:v>09:00</x:v>
      </x:c>
      <x:c r="I10" s="18" t="n">
        <x:v>6</x:v>
      </x:c>
      <x:c r="J10" s="44" t="b">
        <x:v>0</x:v>
      </x:c>
      <x:c r="K10" s="18" t="n">
        <x:v>45</x:v>
      </x:c>
      <x:c r="L10" s="45" t="n">
        <x:v>2.25</x:v>
      </x:c>
      <x:c r="M10" s="45" t="n">
        <x:v>0</x:v>
      </x:c>
      <x:c r="N10" s="18" t="str">
        <x:v>05:02</x:v>
      </x:c>
      <x:c r="O10" s="18" t="n">
        <x:v>0</x:v>
      </x:c>
      <x:c r="P10" s="26" t="n">
        <x:v>2</x:v>
      </x:c>
    </x:row>
    <x:row r="11">
      <x:c r="A11" s="18" t="str">
        <x:v>TV10</x:v>
      </x:c>
      <x:c r="B11" s="18" t="str">
        <x:v>—</x:v>
      </x:c>
      <x:c r="C11" s="18" t="str">
        <x:v>max_wake_flexibility_120</x:v>
      </x:c>
      <x:c r="D11" s="18" t="str">
        <x:v>23:30</x:v>
      </x:c>
      <x:c r="E11" s="18" t="n">
        <x:v>10</x:v>
      </x:c>
      <x:c r="F11" s="18" t="str">
        <x:v>06:30</x:v>
      </x:c>
      <x:c r="G11" s="18" t="str">
        <x:v>02:00</x:v>
      </x:c>
      <x:c r="H11" s="18" t="str">
        <x:v>10:00</x:v>
      </x:c>
      <x:c r="I11" s="18" t="n">
        <x:v>5</x:v>
      </x:c>
      <x:c r="J11" s="44" t="b">
        <x:v>0</x:v>
      </x:c>
      <x:c r="K11" s="18" t="n">
        <x:v>120</x:v>
      </x:c>
      <x:c r="L11" s="45" t="n">
        <x:v>3</x:v>
      </x:c>
      <x:c r="M11" s="45" t="n">
        <x:v>0</x:v>
      </x:c>
      <x:c r="N11" s="18" t="str">
        <x:v>05:44</x:v>
      </x:c>
      <x:c r="O11" s="18" t="n">
        <x:v>0</x:v>
      </x:c>
      <x:c r="P11" s="26" t="n">
        <x:v>2.5</x:v>
      </x:c>
    </x:row>
    <x:row r="12">
      <x:c r="A12" s="18" t="str">
        <x:v>TV11</x:v>
      </x:c>
      <x:c r="B12" s="18" t="str">
        <x:v>—</x:v>
      </x:c>
      <x:c r="C12" s="18" t="str">
        <x:v>free_day_alarm_true</x:v>
      </x:c>
      <x:c r="D12" s="18" t="str">
        <x:v>23:45</x:v>
      </x:c>
      <x:c r="E12" s="18" t="n">
        <x:v>15</x:v>
      </x:c>
      <x:c r="F12" s="18" t="str">
        <x:v>07:00</x:v>
      </x:c>
      <x:c r="G12" s="18" t="str">
        <x:v>00:45</x:v>
      </x:c>
      <x:c r="H12" s="18" t="str">
        <x:v>08:30</x:v>
      </x:c>
      <x:c r="I12" s="18" t="n">
        <x:v>5</x:v>
      </x:c>
      <x:c r="J12" s="44" t="b">
        <x:v>1</x:v>
      </x:c>
      <x:c r="K12" s="18" t="n">
        <x:v>30</x:v>
      </x:c>
      <x:c r="L12" s="45" t="n">
        <x:v>1.25</x:v>
      </x:c>
      <x:c r="M12" s="45" t="n">
        <x:v>0</x:v>
      </x:c>
      <x:c r="N12" s="18" t="str">
        <x:v>N/A</x:v>
      </x:c>
      <x:c r="O12" s="18" t="n">
        <x:v>1</x:v>
      </x:c>
      <x:c r="P12" s="26" t="n">
        <x:v>1</x:v>
      </x:c>
    </x:row>
    <x:row r="13">
      <x:c r="A13" s="18" t="str">
        <x:v>TV12</x:v>
      </x:c>
      <x:c r="B13" s="18" t="str">
        <x:v>—</x:v>
      </x:c>
      <x:c r="C13" s="18" t="str">
        <x:v>short_sleep_warning</x:v>
      </x:c>
      <x:c r="D13" s="18" t="str">
        <x:v>01:00</x:v>
      </x:c>
      <x:c r="E13" s="18" t="n">
        <x:v>0</x:v>
      </x:c>
      <x:c r="F13" s="18" t="str">
        <x:v>05:00</x:v>
      </x:c>
      <x:c r="G13" s="18" t="str">
        <x:v>01:00</x:v>
      </x:c>
      <x:c r="H13" s="18" t="str">
        <x:v>05:00</x:v>
      </x:c>
      <x:c r="I13" s="18" t="n">
        <x:v>5</x:v>
      </x:c>
      <x:c r="J13" s="44" t="b">
        <x:v>0</x:v>
      </x:c>
      <x:c r="K13" s="18" t="n">
        <x:v>0</x:v>
      </x:c>
      <x:c r="L13" s="45" t="n">
        <x:v>0</x:v>
      </x:c>
      <x:c r="M13" s="45" t="n">
        <x:v>0</x:v>
      </x:c>
      <x:c r="N13" s="18" t="str">
        <x:v>03:00</x:v>
      </x:c>
      <x:c r="O13" s="18" t="n">
        <x:v>1</x:v>
      </x:c>
      <x:c r="P13" s="26" t="n">
        <x:v>0</x:v>
      </x:c>
    </x:row>
    <x:row r="14">
      <x:c r="A14" s="18" t="str">
        <x:v>TV13</x:v>
      </x:c>
      <x:c r="B14" s="18" t="str">
        <x:v>—</x:v>
      </x:c>
      <x:c r="C14" s="18" t="str">
        <x:v>long_sleep_warning</x:v>
      </x:c>
      <x:c r="D14" s="18" t="str">
        <x:v>20:00</x:v>
      </x:c>
      <x:c r="E14" s="18" t="n">
        <x:v>0</x:v>
      </x:c>
      <x:c r="F14" s="18" t="str">
        <x:v>08:00</x:v>
      </x:c>
      <x:c r="G14" s="18" t="str">
        <x:v>20:00</x:v>
      </x:c>
      <x:c r="H14" s="18" t="str">
        <x:v>08:00</x:v>
      </x:c>
      <x:c r="I14" s="18" t="n">
        <x:v>5</x:v>
      </x:c>
      <x:c r="J14" s="44" t="b">
        <x:v>0</x:v>
      </x:c>
      <x:c r="K14" s="18" t="n">
        <x:v>0</x:v>
      </x:c>
      <x:c r="L14" s="45" t="n">
        <x:v>0</x:v>
      </x:c>
      <x:c r="M14" s="45" t="n">
        <x:v>0</x:v>
      </x:c>
      <x:c r="N14" s="18" t="str">
        <x:v>02:00</x:v>
      </x:c>
      <x:c r="O14" s="18" t="n">
        <x:v>1</x:v>
      </x:c>
      <x:c r="P14" s="26" t="n">
        <x:v>0</x:v>
      </x:c>
    </x:row>
    <x:row r="15">
      <x:c r="A15" s="18" t="str">
        <x:v>TV14</x:v>
      </x:c>
      <x:c r="B15" s="18" t="str">
        <x:v>—</x:v>
      </x:c>
      <x:c r="C15" s="18" t="str">
        <x:v>large_positive_sjl_cap_test</x:v>
      </x:c>
      <x:c r="D15" s="18" t="str">
        <x:v>22:30</x:v>
      </x:c>
      <x:c r="E15" s="18" t="n">
        <x:v>15</x:v>
      </x:c>
      <x:c r="F15" s="18" t="str">
        <x:v>06:30</x:v>
      </x:c>
      <x:c r="G15" s="18" t="str">
        <x:v>03:30</x:v>
      </x:c>
      <x:c r="H15" s="18" t="str">
        <x:v>11:30</x:v>
      </x:c>
      <x:c r="I15" s="18" t="n">
        <x:v>5</x:v>
      </x:c>
      <x:c r="J15" s="44" t="b">
        <x:v>0</x:v>
      </x:c>
      <x:c r="K15" s="18" t="n">
        <x:v>30</x:v>
      </x:c>
      <x:c r="L15" s="45" t="n">
        <x:v>5</x:v>
      </x:c>
      <x:c r="M15" s="45" t="n">
        <x:v>3</x:v>
      </x:c>
      <x:c r="N15" s="18" t="str">
        <x:v>07:38</x:v>
      </x:c>
      <x:c r="O15" s="18" t="n">
        <x:v>0</x:v>
      </x:c>
      <x:c r="P15" s="26" t="n">
        <x:v>5</x:v>
      </x:c>
    </x:row>
    <x:row r="16">
      <x:c r="A16" s="18" t="str">
        <x:v>TV15</x:v>
      </x:c>
      <x:c r="B16" s="18" t="str">
        <x:v>—</x:v>
      </x:c>
      <x:c r="C16" s="18" t="str">
        <x:v>large_negative_sjl</x:v>
      </x:c>
      <x:c r="D16" s="18" t="str">
        <x:v>03:00</x:v>
      </x:c>
      <x:c r="E16" s="18" t="n">
        <x:v>15</x:v>
      </x:c>
      <x:c r="F16" s="18" t="str">
        <x:v>11:00</x:v>
      </x:c>
      <x:c r="G16" s="18" t="str">
        <x:v>22:30</x:v>
      </x:c>
      <x:c r="H16" s="18" t="str">
        <x:v>06:30</x:v>
      </x:c>
      <x:c r="I16" s="18" t="n">
        <x:v>5</x:v>
      </x:c>
      <x:c r="J16" s="44" t="b">
        <x:v>0</x:v>
      </x:c>
      <x:c r="K16" s="18" t="n">
        <x:v>60</x:v>
      </x:c>
      <x:c r="L16" s="45" t="n">
        <x:v>4.5</x:v>
      </x:c>
      <x:c r="M16" s="45" t="n">
        <x:v>2</x:v>
      </x:c>
      <x:c r="N16" s="18" t="str">
        <x:v>02:38</x:v>
      </x:c>
      <x:c r="O16" s="18" t="n">
        <x:v>0</x:v>
      </x:c>
      <x:c r="P16" s="26" t="n">
        <x:v>4.5</x:v>
      </x:c>
    </x:row>
    <x:row r="17">
      <x:c r="A17" s="18" t="str">
        <x:v>TV16</x:v>
      </x:c>
      <x:c r="B17" s="18" t="str">
        <x:v>—</x:v>
      </x:c>
      <x:c r="C17" s="18" t="str">
        <x:v>published_rOpenSci_scalar_example</x:v>
      </x:c>
      <x:c r="D17" s="18" t="str">
        <x:v>23:30</x:v>
      </x:c>
      <x:c r="E17" s="18" t="n">
        <x:v>0</x:v>
      </x:c>
      <x:c r="F17" s="18" t="str">
        <x:v>07:30</x:v>
      </x:c>
      <x:c r="G17" s="18" t="str">
        <x:v>01:00</x:v>
      </x:c>
      <x:c r="H17" s="18" t="str">
        <x:v>09:00</x:v>
      </x:c>
      <x:c r="I17" s="18" t="n">
        <x:v>5</x:v>
      </x:c>
      <x:c r="J17" s="44" t="b">
        <x:v>0</x:v>
      </x:c>
      <x:c r="K17" s="18" t="n">
        <x:v>0</x:v>
      </x:c>
      <x:c r="L17" s="45" t="n">
        <x:v>1.5</x:v>
      </x:c>
      <x:c r="M17" s="45" t="n">
        <x:v>0</x:v>
      </x:c>
      <x:c r="N17" s="18" t="str">
        <x:v>05:00</x:v>
      </x:c>
      <x:c r="O17" s="18" t="n">
        <x:v>0</x:v>
      </x:c>
      <x:c r="P17" s="26" t="n">
        <x:v>1.5</x:v>
      </x:c>
    </x:row>
    <x:row r="18">
      <x:c r="A18" s="18" t="str">
        <x:v>TV17</x:v>
      </x:c>
      <x:c r="B18" s="18" t="str">
        <x:v>—</x:v>
      </x:c>
      <x:c r="C18" s="18" t="str">
        <x:v>exact_12h_circular_tie</x:v>
      </x:c>
      <x:c r="D18" s="18" t="str">
        <x:v>20:00</x:v>
      </x:c>
      <x:c r="E18" s="18" t="n">
        <x:v>0</x:v>
      </x:c>
      <x:c r="F18" s="18" t="str">
        <x:v>04:00</x:v>
      </x:c>
      <x:c r="G18" s="18" t="str">
        <x:v>08:00</x:v>
      </x:c>
      <x:c r="H18" s="18" t="str">
        <x:v>16:00</x:v>
      </x:c>
      <x:c r="I18" s="18" t="n">
        <x:v>5</x:v>
      </x:c>
      <x:c r="J18" s="44" t="b">
        <x:v>0</x:v>
      </x:c>
      <x:c r="K18" s="18" t="n">
        <x:v>120</x:v>
      </x:c>
      <x:c r="L18" s="18" t="n">
        <x:v>12</x:v>
      </x:c>
      <x:c r="M18" s="18" t="n">
        <x:v>8.5</x:v>
      </x:c>
      <x:c r="N18" s="18" t="str">
        <x:v>12:00</x:v>
      </x:c>
      <x:c r="O18" s="18" t="n">
        <x:v>1</x:v>
      </x:c>
      <x:c r="P18" s="18" t="n">
        <x:v>12</x:v>
      </x:c>
    </x:row>
    <x:row r="19">
      <x:c r="A19" s="18" t="str">
        <x:v>TV18</x:v>
      </x:c>
      <x:c r="B19" s="18" t="str">
        <x:v>—</x:v>
      </x:c>
      <x:c r="C19" s="18" t="str">
        <x:v>minimum_valid_sleep_3h</x:v>
      </x:c>
      <x:c r="D19" s="18" t="str">
        <x:v>01:00</x:v>
      </x:c>
      <x:c r="E19" s="18" t="n">
        <x:v>0</x:v>
      </x:c>
      <x:c r="F19" s="18" t="str">
        <x:v>04:00</x:v>
      </x:c>
      <x:c r="G19" s="18" t="str">
        <x:v>01:00</x:v>
      </x:c>
      <x:c r="H19" s="18" t="str">
        <x:v>04:00</x:v>
      </x:c>
      <x:c r="I19" s="18" t="n">
        <x:v>5</x:v>
      </x:c>
      <x:c r="J19" s="44" t="b">
        <x:v>0</x:v>
      </x:c>
      <x:c r="K19" s="18" t="n">
        <x:v>0</x:v>
      </x:c>
      <x:c r="L19" s="18" t="n">
        <x:v>0</x:v>
      </x:c>
      <x:c r="M19" s="18" t="n">
        <x:v>0</x:v>
      </x:c>
      <x:c r="N19" s="18" t="str">
        <x:v>02:30</x:v>
      </x:c>
      <x:c r="O19" s="18" t="n">
        <x:v>1</x:v>
      </x:c>
      <x:c r="P19" s="18" t="n">
        <x:v>0</x:v>
      </x:c>
    </x:row>
    <x:row r="20">
      <x:c r="A20" s="18" t="str">
        <x:v>TV19</x:v>
      </x:c>
      <x:c r="B20" s="18" t="str">
        <x:v>—</x:v>
      </x:c>
      <x:c r="C20" s="18" t="str">
        <x:v>maximum_valid_sleep_14h</x:v>
      </x:c>
      <x:c r="D20" s="18" t="str">
        <x:v>18:00</x:v>
      </x:c>
      <x:c r="E20" s="18" t="n">
        <x:v>0</x:v>
      </x:c>
      <x:c r="F20" s="18" t="str">
        <x:v>08:00</x:v>
      </x:c>
      <x:c r="G20" s="18" t="str">
        <x:v>18:00</x:v>
      </x:c>
      <x:c r="H20" s="18" t="str">
        <x:v>08:00</x:v>
      </x:c>
      <x:c r="I20" s="18" t="n">
        <x:v>5</x:v>
      </x:c>
      <x:c r="J20" s="44" t="b">
        <x:v>0</x:v>
      </x:c>
      <x:c r="K20" s="18" t="n">
        <x:v>0</x:v>
      </x:c>
      <x:c r="L20" s="18" t="n">
        <x:v>0</x:v>
      </x:c>
      <x:c r="M20" s="18" t="n">
        <x:v>0</x:v>
      </x:c>
      <x:c r="N20" s="18" t="str">
        <x:v>01:00</x:v>
      </x:c>
      <x:c r="O20" s="18" t="n">
        <x:v>1</x:v>
      </x:c>
      <x:c r="P20" s="18" t="n">
        <x:v>0</x:v>
      </x:c>
    </x:row>
    <x:row r="21">
      <x:c r="A21" s="18" t="str">
        <x:v>TV20</x:v>
      </x:c>
      <x:c r="B21" s="18" t="str">
        <x:v>—</x:v>
      </x:c>
      <x:c r="C21" s="18" t="str">
        <x:v>monotonicity_flex_0</x:v>
      </x:c>
      <x:c r="D21" s="18" t="str">
        <x:v>22:00</x:v>
      </x:c>
      <x:c r="E21" s="18" t="n">
        <x:v>0</x:v>
      </x:c>
      <x:c r="F21" s="18" t="str">
        <x:v>06:00</x:v>
      </x:c>
      <x:c r="G21" s="18" t="str">
        <x:v>02:00</x:v>
      </x:c>
      <x:c r="H21" s="18" t="str">
        <x:v>10:00</x:v>
      </x:c>
      <x:c r="I21" s="18" t="n">
        <x:v>5</x:v>
      </x:c>
      <x:c r="J21" s="44" t="b">
        <x:v>0</x:v>
      </x:c>
      <x:c r="K21" s="18" t="n">
        <x:v>0</x:v>
      </x:c>
      <x:c r="L21" s="18" t="n">
        <x:v>4</x:v>
      </x:c>
      <x:c r="M21" s="18" t="n">
        <x:v>2.5</x:v>
      </x:c>
      <x:c r="N21" s="18" t="str">
        <x:v>06:00</x:v>
      </x:c>
      <x:c r="O21" s="18" t="n">
        <x:v>0</x:v>
      </x:c>
      <x:c r="P21" s="18" t="n">
        <x:v>4</x:v>
      </x:c>
    </x:row>
    <x:row r="22">
      <x:c r="A22" s="18" t="str">
        <x:v>TV21</x:v>
      </x:c>
      <x:c r="B22" s="18" t="str">
        <x:v>—</x:v>
      </x:c>
      <x:c r="C22" s="18" t="str">
        <x:v>monotonicity_flex_120</x:v>
      </x:c>
      <x:c r="D22" s="18" t="str">
        <x:v>22:00</x:v>
      </x:c>
      <x:c r="E22" s="18" t="n">
        <x:v>0</x:v>
      </x:c>
      <x:c r="F22" s="18" t="str">
        <x:v>06:00</x:v>
      </x:c>
      <x:c r="G22" s="18" t="str">
        <x:v>02:00</x:v>
      </x:c>
      <x:c r="H22" s="18" t="str">
        <x:v>10:00</x:v>
      </x:c>
      <x:c r="I22" s="18" t="n">
        <x:v>5</x:v>
      </x:c>
      <x:c r="J22" s="44" t="b">
        <x:v>0</x:v>
      </x:c>
      <x:c r="K22" s="18" t="n">
        <x:v>120</x:v>
      </x:c>
      <x:c r="L22" s="18" t="n">
        <x:v>4</x:v>
      </x:c>
      <x:c r="M22" s="18" t="n">
        <x:v>0.5</x:v>
      </x:c>
      <x:c r="N22" s="18" t="str">
        <x:v>06:00</x:v>
      </x:c>
      <x:c r="O22" s="18" t="n">
        <x:v>0</x:v>
      </x:c>
      <x:c r="P22" s="18" t="n">
        <x:v>4</x:v>
      </x:c>
    </x:row>
  </x:sheetData>
  <x:pageMargins left="0.7" right="0.7" top="0.75" bottom="0.75" header="0.3" footer="0.3"/>
</x:worksheet>
</file>